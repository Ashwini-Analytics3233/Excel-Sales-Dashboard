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india\Downloads\"/>
    </mc:Choice>
  </mc:AlternateContent>
  <xr:revisionPtr revIDLastSave="0" documentId="13_ncr:1_{D87BC649-E57B-4B61-94E4-A869B9A49023}" xr6:coauthVersionLast="47" xr6:coauthVersionMax="47" xr10:uidLastSave="{00000000-0000-0000-0000-000000000000}"/>
  <bookViews>
    <workbookView xWindow="-120" yWindow="-120" windowWidth="20730" windowHeight="11160" activeTab="4" xr2:uid="{00000000-000D-0000-FFFF-FFFF00000000}"/>
  </bookViews>
  <sheets>
    <sheet name="Final Dashboard" sheetId="10" r:id="rId1"/>
    <sheet name="pivot tables" sheetId="5" r:id="rId2"/>
    <sheet name="pivot charts and slicers" sheetId="9" r:id="rId3"/>
    <sheet name="Sales Data" sheetId="1" r:id="rId4"/>
    <sheet name="Project Tasks" sheetId="2" r:id="rId5"/>
  </sheets>
  <definedNames>
    <definedName name="_xlnm._FilterDatabase" localSheetId="3" hidden="1">'Sales Data'!$A$1:$K$21</definedName>
    <definedName name="Slicer_Category">#N/A</definedName>
    <definedName name="Slicer_PaymentMod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0" l="1"/>
  <c r="N13" i="1" a="1"/>
  <c r="N13" i="1" s="1"/>
  <c r="N11" i="1"/>
  <c r="O5" i="1"/>
  <c r="N3" i="1"/>
  <c r="M3" i="1"/>
  <c r="J21" i="1"/>
  <c r="J20" i="1"/>
  <c r="J19" i="1"/>
  <c r="J18" i="1"/>
  <c r="J17" i="1"/>
  <c r="J16" i="1"/>
  <c r="J15" i="1"/>
  <c r="J14" i="1"/>
  <c r="J13" i="1"/>
  <c r="J12" i="1"/>
  <c r="J11" i="1"/>
  <c r="J10" i="1"/>
  <c r="J9" i="1"/>
  <c r="J8" i="1"/>
  <c r="J7" i="1"/>
  <c r="J6" i="1"/>
  <c r="J5" i="1"/>
  <c r="J4" i="1"/>
  <c r="J3" i="1"/>
  <c r="J2" i="1"/>
  <c r="O12" i="1" l="1"/>
  <c r="O7" i="1"/>
  <c r="O8" i="1"/>
  <c r="N5" i="1"/>
  <c r="B25" i="2"/>
  <c r="B22" i="2"/>
  <c r="O2" i="1"/>
  <c r="M7" i="1"/>
  <c r="B26" i="2"/>
  <c r="M5" i="1"/>
  <c r="N7" i="1"/>
  <c r="O11" i="1"/>
  <c r="B23" i="2"/>
  <c r="B2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<sst xmlns="http://schemas.openxmlformats.org/spreadsheetml/2006/main" count="292" uniqueCount="156">
  <si>
    <t>OrderID</t>
  </si>
  <si>
    <t>OrderDate</t>
  </si>
  <si>
    <t>Region</t>
  </si>
  <si>
    <t>City</t>
  </si>
  <si>
    <t>Salesperson</t>
  </si>
  <si>
    <t>Category</t>
  </si>
  <si>
    <t>Product</t>
  </si>
  <si>
    <t>Qty</t>
  </si>
  <si>
    <t>UnitPrice</t>
  </si>
  <si>
    <t>Sales</t>
  </si>
  <si>
    <t>PaymentMode</t>
  </si>
  <si>
    <t>ORD1001</t>
  </si>
  <si>
    <t>05-01-2026</t>
  </si>
  <si>
    <t>South</t>
  </si>
  <si>
    <t>Hyderabad</t>
  </si>
  <si>
    <t>Rahul</t>
  </si>
  <si>
    <t>Electronics</t>
  </si>
  <si>
    <t>Laptop</t>
  </si>
  <si>
    <t>UPI</t>
  </si>
  <si>
    <t>ORD1002</t>
  </si>
  <si>
    <t>06-01-2026</t>
  </si>
  <si>
    <t>Chennai</t>
  </si>
  <si>
    <t>Priya</t>
  </si>
  <si>
    <t>Mobile</t>
  </si>
  <si>
    <t>Card</t>
  </si>
  <si>
    <t>ORD1003</t>
  </si>
  <si>
    <t>08-01-2026</t>
  </si>
  <si>
    <t>West</t>
  </si>
  <si>
    <t>Mumbai</t>
  </si>
  <si>
    <t>Arjun</t>
  </si>
  <si>
    <t>Furniture</t>
  </si>
  <si>
    <t>Office Chair</t>
  </si>
  <si>
    <t>Cash</t>
  </si>
  <si>
    <t>ORD1004</t>
  </si>
  <si>
    <t>10-01-2026</t>
  </si>
  <si>
    <t>North</t>
  </si>
  <si>
    <t>Delhi</t>
  </si>
  <si>
    <t>Sneha</t>
  </si>
  <si>
    <t>Monitor</t>
  </si>
  <si>
    <t>ORD1005</t>
  </si>
  <si>
    <t>12-01-2026</t>
  </si>
  <si>
    <t>East</t>
  </si>
  <si>
    <t>Kolkata</t>
  </si>
  <si>
    <t>Ravi</t>
  </si>
  <si>
    <t>Stationery</t>
  </si>
  <si>
    <t>Notebook</t>
  </si>
  <si>
    <t>ORD1006</t>
  </si>
  <si>
    <t>15-01-2026</t>
  </si>
  <si>
    <t>Bengaluru</t>
  </si>
  <si>
    <t>Kiran</t>
  </si>
  <si>
    <t>Keyboard</t>
  </si>
  <si>
    <t>ORD1007</t>
  </si>
  <si>
    <t>18-01-2026</t>
  </si>
  <si>
    <t>Pune</t>
  </si>
  <si>
    <t>Anjali</t>
  </si>
  <si>
    <t>Table</t>
  </si>
  <si>
    <t>ORD1008</t>
  </si>
  <si>
    <t>20-01-2026</t>
  </si>
  <si>
    <t>Jaipur</t>
  </si>
  <si>
    <t>Amit</t>
  </si>
  <si>
    <t>Headphones</t>
  </si>
  <si>
    <t>ORD1009</t>
  </si>
  <si>
    <t>22-01-2026</t>
  </si>
  <si>
    <t>Neha</t>
  </si>
  <si>
    <t>Pen</t>
  </si>
  <si>
    <t>ORD1010</t>
  </si>
  <si>
    <t>25-01-2026</t>
  </si>
  <si>
    <t>Printer</t>
  </si>
  <si>
    <t>ORD1011</t>
  </si>
  <si>
    <t>28-01-2026</t>
  </si>
  <si>
    <t>Desk</t>
  </si>
  <si>
    <t>ORD1012</t>
  </si>
  <si>
    <t>02-02-2026</t>
  </si>
  <si>
    <t>ORD1013</t>
  </si>
  <si>
    <t>05-02-2026</t>
  </si>
  <si>
    <t>ORD1014</t>
  </si>
  <si>
    <t>08-02-2026</t>
  </si>
  <si>
    <t>ORD1015</t>
  </si>
  <si>
    <t>12-02-2026</t>
  </si>
  <si>
    <t>ORD1016</t>
  </si>
  <si>
    <t>15-02-2026</t>
  </si>
  <si>
    <t>ORD1017</t>
  </si>
  <si>
    <t>18-02-2026</t>
  </si>
  <si>
    <t>ORD1018</t>
  </si>
  <si>
    <t>20-02-2026</t>
  </si>
  <si>
    <t>ORD1019</t>
  </si>
  <si>
    <t>23-02-2026</t>
  </si>
  <si>
    <t>ORD1020</t>
  </si>
  <si>
    <t>26-02-2026</t>
  </si>
  <si>
    <t>EXCEL SALES PROJECT - TASKS</t>
  </si>
  <si>
    <t>No.</t>
  </si>
  <si>
    <t>Task</t>
  </si>
  <si>
    <t>What to do</t>
  </si>
  <si>
    <t>1</t>
  </si>
  <si>
    <t>Calculate Sales</t>
  </si>
  <si>
    <t>Use Qty × UnitPrice. Sales column already contains formulas; inspect and practice recreating them.</t>
  </si>
  <si>
    <t>2</t>
  </si>
  <si>
    <t>Total Sales</t>
  </si>
  <si>
    <t>Find the total sales using SUM.</t>
  </si>
  <si>
    <t>3</t>
  </si>
  <si>
    <t>Total Quantity Sold</t>
  </si>
  <si>
    <t>Find total Qty using SUM.</t>
  </si>
  <si>
    <t>4</t>
  </si>
  <si>
    <t>Average Sales</t>
  </si>
  <si>
    <t>Find average order sales using AVERAGE.</t>
  </si>
  <si>
    <t>5</t>
  </si>
  <si>
    <t>Highest Sales Order</t>
  </si>
  <si>
    <t>Find the highest Sales value using MAX.</t>
  </si>
  <si>
    <t>6</t>
  </si>
  <si>
    <t>Lowest Sales Order</t>
  </si>
  <si>
    <t>Find the lowest Sales value using MIN.</t>
  </si>
  <si>
    <t>7</t>
  </si>
  <si>
    <t>Region-wise Sales</t>
  </si>
  <si>
    <t>Use SUMIF or a PivotTable to calculate sales by Region.</t>
  </si>
  <si>
    <t>8</t>
  </si>
  <si>
    <t>Category-wise Sales</t>
  </si>
  <si>
    <t>Use SUMIF or a PivotTable to calculate sales by Category.</t>
  </si>
  <si>
    <t>9</t>
  </si>
  <si>
    <t>Salesperson-wise Sales</t>
  </si>
  <si>
    <t>Calculate total sales for each salesperson.</t>
  </si>
  <si>
    <t>10</t>
  </si>
  <si>
    <t>Payment Mode Sales</t>
  </si>
  <si>
    <t>Calculate sales by UPI, Card and Cash.</t>
  </si>
  <si>
    <t>11</t>
  </si>
  <si>
    <t>Create a PivotTable</t>
  </si>
  <si>
    <t>Build a PivotTable summarizing Region, Category and Sales.</t>
  </si>
  <si>
    <t>12</t>
  </si>
  <si>
    <t>Column Chart</t>
  </si>
  <si>
    <t>Create a column chart for Region-wise Sales.</t>
  </si>
  <si>
    <t>13</t>
  </si>
  <si>
    <t>Pie Chart</t>
  </si>
  <si>
    <t>Create a pie chart for Category-wise Sales.</t>
  </si>
  <si>
    <t>14</t>
  </si>
  <si>
    <t>Bar Chart</t>
  </si>
  <si>
    <t>Create a bar chart for Salesperson-wise Sales.</t>
  </si>
  <si>
    <t>15</t>
  </si>
  <si>
    <t>Add Slicers</t>
  </si>
  <si>
    <t>Add slicers for Region, Category and PaymentMode.</t>
  </si>
  <si>
    <t>Formula Practice</t>
  </si>
  <si>
    <t>SUM</t>
  </si>
  <si>
    <t>AVERAGE</t>
  </si>
  <si>
    <t>MAX</t>
  </si>
  <si>
    <t>MIN</t>
  </si>
  <si>
    <t>SUMIF example</t>
  </si>
  <si>
    <t>total sales</t>
  </si>
  <si>
    <t>total Qty</t>
  </si>
  <si>
    <t>Row Labels</t>
  </si>
  <si>
    <t>Grand Total</t>
  </si>
  <si>
    <t>Sum of Sales</t>
  </si>
  <si>
    <t>Sum of Qty</t>
  </si>
  <si>
    <t>Total sales</t>
  </si>
  <si>
    <t>Total orders</t>
  </si>
  <si>
    <t>Total quantity</t>
  </si>
  <si>
    <t>Avg order value</t>
  </si>
  <si>
    <t xml:space="preserve"> </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</si>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</sst>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4A]#,##0.00;[Red]\-[$₹-44A]#,##0.00"/>
    <numFmt numFmtId="165" formatCode="[$₹-44A]#,##0.00"/>
  </numFmts>
  <fonts count="8" x14ac:knownFonts="1">
    <font>
      <sz val="11"/>
      <color theme="1"/>
      <name val="Calibri"/>
      <family val="2"/>
      <scheme val="minor"/>
    </font>
    <font>
      <b/>
      <sz val="11"/>
      <color rgb="FFFFFFFF"/>
      <name val="Calibri"/>
    </font>
    <font>
      <b/>
      <sz val="16"/>
      <color rgb="FFFFFFFF"/>
      <name val="Calibri"/>
    </font>
    <font>
      <b/>
      <sz val="14"/>
      <color rgb="FFFFFFFF"/>
      <name val="Calibri"/>
    </font>
    <font>
      <b/>
      <sz val="18"/>
      <color theme="1"/>
      <name val="Calibri"/>
      <family val="2"/>
      <scheme val="minor"/>
    </font>
    <font>
      <b/>
      <sz val="16"/>
      <color theme="1"/>
      <name val="Calibri"/>
      <family val="2"/>
      <scheme val="minor"/>
    </font>
    <font>
      <b/>
      <sz val="20"/>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1F4E78"/>
      </patternFill>
    </fill>
    <fill>
      <patternFill patternType="solid">
        <fgColor rgb="FF4472C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3" fontId="0" fillId="0" borderId="0" xfId="0" applyNumberFormat="1"/>
    <xf numFmtId="0" fontId="1" fillId="3" borderId="0" xfId="0" applyFont="1" applyFill="1" applyAlignment="1">
      <alignment horizontal="center"/>
    </xf>
    <xf numFmtId="0" fontId="0" fillId="0" borderId="0" xfId="0" applyAlignment="1">
      <alignment vertical="top" wrapText="1"/>
    </xf>
    <xf numFmtId="0" fontId="0" fillId="0" borderId="0" xfId="0" pivotButton="1"/>
    <xf numFmtId="0" fontId="0" fillId="0" borderId="0" xfId="0" applyAlignment="1">
      <alignment horizontal="left"/>
    </xf>
    <xf numFmtId="0" fontId="5" fillId="4" borderId="0" xfId="0" applyFont="1" applyFill="1"/>
    <xf numFmtId="164" fontId="7" fillId="0" borderId="0" xfId="0" applyNumberFormat="1" applyFont="1"/>
    <xf numFmtId="0" fontId="7" fillId="0" borderId="0" xfId="0" applyFont="1"/>
    <xf numFmtId="165" fontId="7" fillId="0" borderId="0" xfId="0" applyNumberFormat="1" applyFont="1"/>
    <xf numFmtId="0" fontId="4" fillId="0" borderId="0" xfId="0" applyFont="1" applyAlignment="1">
      <alignment horizontal="center"/>
    </xf>
    <xf numFmtId="0" fontId="6" fillId="0" borderId="0" xfId="0" applyFont="1" applyAlignment="1">
      <alignment horizontal="center"/>
    </xf>
    <xf numFmtId="0" fontId="2" fillId="2" borderId="0" xfId="0" applyFont="1" applyFill="1"/>
    <xf numFmtId="0" fontId="0" fillId="0" borderId="0" xfId="0"/>
    <xf numFmtId="0" fontId="3" fillId="2" borderId="0" xfId="0" applyFont="1" applyFill="1"/>
  </cellXfs>
  <cellStyles count="1">
    <cellStyle name="Normal" xfId="0" builtinId="0"/>
  </cellStyles>
  <dxfs count="5">
    <dxf>
      <numFmt numFmtId="3" formatCode="#,##0"/>
    </dxf>
    <dxf>
      <numFmt numFmtId="3" formatCode="#,##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dxf>
    <dxf>
      <font>
        <b/>
        <i val="0"/>
        <sz val="14"/>
        <color theme="1"/>
        <name val="Calibri"/>
        <family val="2"/>
        <scheme val="minor"/>
      </font>
    </dxf>
    <dxf>
      <font>
        <b/>
        <i val="0"/>
        <sz val="14"/>
        <name val="Calibri"/>
        <family val="2"/>
        <scheme val="minor"/>
      </font>
    </dxf>
  </dxfs>
  <tableStyles count="2" defaultTableStyle="TableStyleMedium9" defaultPivotStyle="PivotStyleLight16">
    <tableStyle name="Slicer Style 1" pivot="0" table="0" count="1" xr9:uid="{115DF1DA-CB04-4E54-B872-67ADCAEF2059}">
      <tableStyleElement type="wholeTable" dxfId="4"/>
    </tableStyle>
    <tableStyle name="Slicer Style 2" pivot="0" table="0" count="1" xr9:uid="{6D7231B4-13A8-4948-9BD1-0150276599E1}">
      <tableStyleElement type="wholeTable" dxfId="3"/>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tables!PivotTable3</c:name>
    <c:fmtId val="9"/>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Sales by Region</a:t>
            </a:r>
          </a:p>
        </c:rich>
      </c:tx>
      <c:layout>
        <c:manualLayout>
          <c:xMode val="edge"/>
          <c:yMode val="edge"/>
          <c:x val="0.30911917260342459"/>
          <c:y val="4.7697219665723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3834215539111"/>
          <c:y val="0.16147215973003373"/>
          <c:w val="0.68623916993653389"/>
          <c:h val="0.61912418842381556"/>
        </c:manualLayout>
      </c:layout>
      <c:barChart>
        <c:barDir val="col"/>
        <c:grouping val="clustered"/>
        <c:varyColors val="0"/>
        <c:ser>
          <c:idx val="0"/>
          <c:order val="0"/>
          <c:tx>
            <c:strRef>
              <c:f>'pivot tables'!$B$3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#,##0</c:formatCode>
                <c:ptCount val="4"/>
                <c:pt idx="0">
                  <c:v>7000</c:v>
                </c:pt>
                <c:pt idx="1">
                  <c:v>183000</c:v>
                </c:pt>
                <c:pt idx="2">
                  <c:v>437500</c:v>
                </c:pt>
                <c:pt idx="3">
                  <c:v>158000</c:v>
                </c:pt>
              </c:numCache>
            </c:numRef>
          </c:val>
          <c:extLst>
            <c:ext xmlns:c16="http://schemas.microsoft.com/office/drawing/2014/chart" uri="{C3380CC4-5D6E-409C-BE32-E72D297353CC}">
              <c16:uniqueId val="{00000000-6299-4F28-BF49-90C59299402D}"/>
            </c:ext>
          </c:extLst>
        </c:ser>
        <c:dLbls>
          <c:dLblPos val="outEnd"/>
          <c:showLegendKey val="0"/>
          <c:showVal val="1"/>
          <c:showCatName val="0"/>
          <c:showSerName val="0"/>
          <c:showPercent val="0"/>
          <c:showBubbleSize val="0"/>
        </c:dLbls>
        <c:gapWidth val="315"/>
        <c:axId val="505324896"/>
        <c:axId val="503191040"/>
      </c:barChart>
      <c:catAx>
        <c:axId val="5053248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03191040"/>
        <c:crosses val="autoZero"/>
        <c:auto val="1"/>
        <c:lblAlgn val="ctr"/>
        <c:lblOffset val="100"/>
        <c:noMultiLvlLbl val="0"/>
      </c:catAx>
      <c:valAx>
        <c:axId val="503191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053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Sales by Salesperson</a:t>
            </a:r>
          </a:p>
          <a:p>
            <a:pPr>
              <a:defRPr>
                <a:solidFill>
                  <a:schemeClr val="bg1"/>
                </a:solidFill>
              </a:defRPr>
            </a:pPr>
            <a:endParaRPr lang="en-US">
              <a:solidFill>
                <a:schemeClr val="bg1"/>
              </a:solidFill>
            </a:endParaRPr>
          </a:p>
        </c:rich>
      </c:tx>
      <c:layout>
        <c:manualLayout>
          <c:xMode val="edge"/>
          <c:yMode val="edge"/>
          <c:x val="0.22154173228346455"/>
          <c:y val="0.1227880069056046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tables'!$G$4:$G$13</c:f>
              <c:strCache>
                <c:ptCount val="9"/>
                <c:pt idx="0">
                  <c:v>Amit</c:v>
                </c:pt>
                <c:pt idx="1">
                  <c:v>Anjali</c:v>
                </c:pt>
                <c:pt idx="2">
                  <c:v>Arjun</c:v>
                </c:pt>
                <c:pt idx="3">
                  <c:v>Kiran</c:v>
                </c:pt>
                <c:pt idx="4">
                  <c:v>Neha</c:v>
                </c:pt>
                <c:pt idx="5">
                  <c:v>Priya</c:v>
                </c:pt>
                <c:pt idx="6">
                  <c:v>Rahul</c:v>
                </c:pt>
                <c:pt idx="7">
                  <c:v>Ravi</c:v>
                </c:pt>
                <c:pt idx="8">
                  <c:v>Sneha</c:v>
                </c:pt>
              </c:strCache>
            </c:strRef>
          </c:cat>
          <c:val>
            <c:numRef>
              <c:f>'pivot tables'!$H$4:$H$13</c:f>
              <c:numCache>
                <c:formatCode>#,##0</c:formatCode>
                <c:ptCount val="9"/>
                <c:pt idx="0">
                  <c:v>53600</c:v>
                </c:pt>
                <c:pt idx="1">
                  <c:v>64500</c:v>
                </c:pt>
                <c:pt idx="2">
                  <c:v>93500</c:v>
                </c:pt>
                <c:pt idx="3">
                  <c:v>37500</c:v>
                </c:pt>
                <c:pt idx="4">
                  <c:v>1000</c:v>
                </c:pt>
                <c:pt idx="5">
                  <c:v>200000</c:v>
                </c:pt>
                <c:pt idx="6">
                  <c:v>200000</c:v>
                </c:pt>
                <c:pt idx="7">
                  <c:v>6000</c:v>
                </c:pt>
                <c:pt idx="8">
                  <c:v>129400</c:v>
                </c:pt>
              </c:numCache>
            </c:numRef>
          </c:val>
          <c:extLst>
            <c:ext xmlns:c16="http://schemas.microsoft.com/office/drawing/2014/chart" uri="{C3380CC4-5D6E-409C-BE32-E72D297353CC}">
              <c16:uniqueId val="{00000000-EA9D-4467-8141-798B94903A65}"/>
            </c:ext>
          </c:extLst>
        </c:ser>
        <c:dLbls>
          <c:dLblPos val="outEnd"/>
          <c:showLegendKey val="0"/>
          <c:showVal val="1"/>
          <c:showCatName val="0"/>
          <c:showSerName val="0"/>
          <c:showPercent val="0"/>
          <c:showBubbleSize val="0"/>
        </c:dLbls>
        <c:gapWidth val="115"/>
        <c:axId val="636247872"/>
        <c:axId val="2116639392"/>
      </c:barChart>
      <c:catAx>
        <c:axId val="636247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116639392"/>
        <c:crosses val="autoZero"/>
        <c:auto val="1"/>
        <c:lblAlgn val="ctr"/>
        <c:lblOffset val="100"/>
        <c:noMultiLvlLbl val="0"/>
      </c:catAx>
      <c:valAx>
        <c:axId val="211663939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62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tables!PivotTable7</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Sales</a:t>
            </a:r>
            <a:r>
              <a:rPr lang="en-US" baseline="0">
                <a:solidFill>
                  <a:schemeClr val="bg1"/>
                </a:solidFill>
              </a:rPr>
              <a:t> by Payment Mode</a:t>
            </a:r>
            <a:endParaRPr lang="en-US">
              <a:solidFill>
                <a:schemeClr val="bg1"/>
              </a:solidFill>
            </a:endParaRPr>
          </a:p>
        </c:rich>
      </c:tx>
      <c:layout>
        <c:manualLayout>
          <c:xMode val="edge"/>
          <c:yMode val="edge"/>
          <c:x val="0.22781110761154855"/>
          <c:y val="4.3423884514435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7.0477202343710035E-2"/>
          <c:y val="0.20405774278215225"/>
          <c:w val="0.71557224146981624"/>
          <c:h val="0.66912248468941382"/>
        </c:manualLayout>
      </c:layout>
      <c:pieChart>
        <c:varyColors val="1"/>
        <c:ser>
          <c:idx val="0"/>
          <c:order val="0"/>
          <c:tx>
            <c:strRef>
              <c:f>'pivot tables'!$B$12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6D4-45C3-889A-47C38E40467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6D4-45C3-889A-47C38E40467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6D4-45C3-889A-47C38E40467C}"/>
              </c:ext>
            </c:extLst>
          </c:dPt>
          <c:cat>
            <c:strRef>
              <c:f>'pivot tables'!$A$13:$A$16</c:f>
              <c:strCache>
                <c:ptCount val="3"/>
                <c:pt idx="0">
                  <c:v>UPI</c:v>
                </c:pt>
                <c:pt idx="1">
                  <c:v>Cash</c:v>
                </c:pt>
                <c:pt idx="2">
                  <c:v>Card</c:v>
                </c:pt>
              </c:strCache>
            </c:strRef>
          </c:cat>
          <c:val>
            <c:numRef>
              <c:f>'pivot tables'!$B$13:$B$16</c:f>
              <c:numCache>
                <c:formatCode>#,##0</c:formatCode>
                <c:ptCount val="3"/>
                <c:pt idx="0">
                  <c:v>390000</c:v>
                </c:pt>
                <c:pt idx="1">
                  <c:v>56500</c:v>
                </c:pt>
                <c:pt idx="2">
                  <c:v>339000</c:v>
                </c:pt>
              </c:numCache>
            </c:numRef>
          </c:val>
          <c:extLst>
            <c:ext xmlns:c16="http://schemas.microsoft.com/office/drawing/2014/chart" uri="{C3380CC4-5D6E-409C-BE32-E72D297353CC}">
              <c16:uniqueId val="{00000006-16D4-45C3-889A-47C38E40467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173422350295271"/>
          <c:y val="0.34928559770632928"/>
          <c:w val="0.18882665595772188"/>
          <c:h val="0.3428358910085951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tables!PivotTable4</c:name>
    <c:fmtId val="1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Sales</a:t>
            </a:r>
            <a:r>
              <a:rPr lang="en-US" baseline="0">
                <a:solidFill>
                  <a:schemeClr val="bg1"/>
                </a:solidFill>
              </a:rPr>
              <a:t>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839-40C3-8F1E-DBFEEAD364D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839-40C3-8F1E-DBFEEAD364D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839-40C3-8F1E-DBFEEAD364DA}"/>
              </c:ext>
            </c:extLst>
          </c:dPt>
          <c:cat>
            <c:strRef>
              <c:f>'pivot tables'!$D$4:$D$7</c:f>
              <c:strCache>
                <c:ptCount val="3"/>
                <c:pt idx="0">
                  <c:v>Electronics</c:v>
                </c:pt>
                <c:pt idx="1">
                  <c:v>Furniture</c:v>
                </c:pt>
                <c:pt idx="2">
                  <c:v>Stationery</c:v>
                </c:pt>
              </c:strCache>
            </c:strRef>
          </c:cat>
          <c:val>
            <c:numRef>
              <c:f>'pivot tables'!$E$4:$E$7</c:f>
              <c:numCache>
                <c:formatCode>#,##0</c:formatCode>
                <c:ptCount val="3"/>
                <c:pt idx="0">
                  <c:v>620500</c:v>
                </c:pt>
                <c:pt idx="1">
                  <c:v>158000</c:v>
                </c:pt>
                <c:pt idx="2">
                  <c:v>7000</c:v>
                </c:pt>
              </c:numCache>
            </c:numRef>
          </c:val>
          <c:extLst>
            <c:ext xmlns:c16="http://schemas.microsoft.com/office/drawing/2014/chart" uri="{C3380CC4-5D6E-409C-BE32-E72D297353CC}">
              <c16:uniqueId val="{00000006-4839-40C3-8F1E-DBFEEAD364D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938721258964231"/>
          <c:y val="0.27931184715270913"/>
          <c:w val="0.23586779657742116"/>
          <c:h val="0.4504043269894906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3FF-4012-8322-0AA244D722C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3FF-4012-8322-0AA244D722C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3FF-4012-8322-0AA244D722CE}"/>
              </c:ext>
            </c:extLst>
          </c:dPt>
          <c:cat>
            <c:strRef>
              <c:f>'pivot tables'!$D$4:$D$7</c:f>
              <c:strCache>
                <c:ptCount val="3"/>
                <c:pt idx="0">
                  <c:v>Electronics</c:v>
                </c:pt>
                <c:pt idx="1">
                  <c:v>Furniture</c:v>
                </c:pt>
                <c:pt idx="2">
                  <c:v>Stationery</c:v>
                </c:pt>
              </c:strCache>
            </c:strRef>
          </c:cat>
          <c:val>
            <c:numRef>
              <c:f>'pivot tables'!$E$4:$E$7</c:f>
              <c:numCache>
                <c:formatCode>#,##0</c:formatCode>
                <c:ptCount val="3"/>
                <c:pt idx="0">
                  <c:v>620500</c:v>
                </c:pt>
                <c:pt idx="1">
                  <c:v>158000</c:v>
                </c:pt>
                <c:pt idx="2">
                  <c:v>7000</c:v>
                </c:pt>
              </c:numCache>
            </c:numRef>
          </c:val>
          <c:extLst>
            <c:ext xmlns:c16="http://schemas.microsoft.com/office/drawing/2014/chart" uri="{C3380CC4-5D6E-409C-BE32-E72D297353CC}">
              <c16:uniqueId val="{00000006-E3FF-4012-8322-0AA244D722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tables!PivotTable3</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by Region</a:t>
            </a:r>
          </a:p>
        </c:rich>
      </c:tx>
      <c:layout>
        <c:manualLayout>
          <c:xMode val="edge"/>
          <c:yMode val="edge"/>
          <c:x val="0.30911928651059084"/>
          <c:y val="9.964543905695998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3834215539111"/>
          <c:y val="0.23290073115860518"/>
          <c:w val="0.68623916993653389"/>
          <c:h val="0.61912418842381556"/>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tables'!$A$4:$A$8</c:f>
              <c:strCache>
                <c:ptCount val="4"/>
                <c:pt idx="0">
                  <c:v>East</c:v>
                </c:pt>
                <c:pt idx="1">
                  <c:v>North</c:v>
                </c:pt>
                <c:pt idx="2">
                  <c:v>South</c:v>
                </c:pt>
                <c:pt idx="3">
                  <c:v>West</c:v>
                </c:pt>
              </c:strCache>
            </c:strRef>
          </c:cat>
          <c:val>
            <c:numRef>
              <c:f>'pivot tables'!$B$4:$B$8</c:f>
              <c:numCache>
                <c:formatCode>#,##0</c:formatCode>
                <c:ptCount val="4"/>
                <c:pt idx="0">
                  <c:v>7000</c:v>
                </c:pt>
                <c:pt idx="1">
                  <c:v>183000</c:v>
                </c:pt>
                <c:pt idx="2">
                  <c:v>437500</c:v>
                </c:pt>
                <c:pt idx="3">
                  <c:v>158000</c:v>
                </c:pt>
              </c:numCache>
            </c:numRef>
          </c:val>
          <c:extLst>
            <c:ext xmlns:c16="http://schemas.microsoft.com/office/drawing/2014/chart" uri="{C3380CC4-5D6E-409C-BE32-E72D297353CC}">
              <c16:uniqueId val="{00000000-DA13-4C1E-9D99-514804B3A951}"/>
            </c:ext>
          </c:extLst>
        </c:ser>
        <c:dLbls>
          <c:showLegendKey val="0"/>
          <c:showVal val="0"/>
          <c:showCatName val="0"/>
          <c:showSerName val="0"/>
          <c:showPercent val="0"/>
          <c:showBubbleSize val="0"/>
        </c:dLbls>
        <c:gapWidth val="100"/>
        <c:overlap val="-24"/>
        <c:axId val="505324896"/>
        <c:axId val="503191040"/>
      </c:barChart>
      <c:catAx>
        <c:axId val="5053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3191040"/>
        <c:crosses val="autoZero"/>
        <c:auto val="1"/>
        <c:lblAlgn val="ctr"/>
        <c:lblOffset val="100"/>
        <c:noMultiLvlLbl val="0"/>
      </c:catAx>
      <c:valAx>
        <c:axId val="50319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53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61391076115492"/>
          <c:y val="0.40734449103322523"/>
          <c:w val="0.43268871391076114"/>
          <c:h val="0.47738543341115491"/>
        </c:manualLayout>
      </c:layout>
      <c:barChart>
        <c:barDir val="bar"/>
        <c:grouping val="clustered"/>
        <c:varyColors val="0"/>
        <c:ser>
          <c:idx val="0"/>
          <c:order val="0"/>
          <c:tx>
            <c:strRef>
              <c:f>'pivot tables'!$H$3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tables'!$G$4:$G$13</c:f>
              <c:strCache>
                <c:ptCount val="9"/>
                <c:pt idx="0">
                  <c:v>Amit</c:v>
                </c:pt>
                <c:pt idx="1">
                  <c:v>Anjali</c:v>
                </c:pt>
                <c:pt idx="2">
                  <c:v>Arjun</c:v>
                </c:pt>
                <c:pt idx="3">
                  <c:v>Kiran</c:v>
                </c:pt>
                <c:pt idx="4">
                  <c:v>Neha</c:v>
                </c:pt>
                <c:pt idx="5">
                  <c:v>Priya</c:v>
                </c:pt>
                <c:pt idx="6">
                  <c:v>Rahul</c:v>
                </c:pt>
                <c:pt idx="7">
                  <c:v>Ravi</c:v>
                </c:pt>
                <c:pt idx="8">
                  <c:v>Sneha</c:v>
                </c:pt>
              </c:strCache>
            </c:strRef>
          </c:cat>
          <c:val>
            <c:numRef>
              <c:f>'pivot tables'!$H$4:$H$13</c:f>
              <c:numCache>
                <c:formatCode>#,##0</c:formatCode>
                <c:ptCount val="9"/>
                <c:pt idx="0">
                  <c:v>53600</c:v>
                </c:pt>
                <c:pt idx="1">
                  <c:v>64500</c:v>
                </c:pt>
                <c:pt idx="2">
                  <c:v>93500</c:v>
                </c:pt>
                <c:pt idx="3">
                  <c:v>37500</c:v>
                </c:pt>
                <c:pt idx="4">
                  <c:v>1000</c:v>
                </c:pt>
                <c:pt idx="5">
                  <c:v>200000</c:v>
                </c:pt>
                <c:pt idx="6">
                  <c:v>200000</c:v>
                </c:pt>
                <c:pt idx="7">
                  <c:v>6000</c:v>
                </c:pt>
                <c:pt idx="8">
                  <c:v>129400</c:v>
                </c:pt>
              </c:numCache>
            </c:numRef>
          </c:val>
          <c:extLst>
            <c:ext xmlns:c16="http://schemas.microsoft.com/office/drawing/2014/chart" uri="{C3380CC4-5D6E-409C-BE32-E72D297353CC}">
              <c16:uniqueId val="{00000000-8123-471C-B8AF-C73A868C4FBD}"/>
            </c:ext>
          </c:extLst>
        </c:ser>
        <c:dLbls>
          <c:showLegendKey val="0"/>
          <c:showVal val="0"/>
          <c:showCatName val="0"/>
          <c:showSerName val="0"/>
          <c:showPercent val="0"/>
          <c:showBubbleSize val="0"/>
        </c:dLbls>
        <c:gapWidth val="115"/>
        <c:overlap val="-20"/>
        <c:axId val="636247872"/>
        <c:axId val="2116639392"/>
      </c:barChart>
      <c:catAx>
        <c:axId val="636247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639392"/>
        <c:crosses val="autoZero"/>
        <c:auto val="1"/>
        <c:lblAlgn val="ctr"/>
        <c:lblOffset val="100"/>
        <c:noMultiLvlLbl val="0"/>
      </c:catAx>
      <c:valAx>
        <c:axId val="211663939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24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[Excel_Sales_Project_Practice.xlsx]pivot tables!PivotTable7</c:name>
    <c:fmtId val="4"/>
  </c:pivotSource>
  <c:chart>
    <c:title>
      <c:layout>
        <c:manualLayout>
          <c:xMode val="edge"/>
          <c:yMode val="edge"/>
          <c:x val="0.52861111111111114"/>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587172538392053E-2"/>
          <c:y val="0.14562877748889641"/>
          <c:w val="0.73263888888888884"/>
          <c:h val="0.68578922426363376"/>
        </c:manualLayout>
      </c:layout>
      <c:pie3DChart>
        <c:varyColors val="1"/>
        <c:ser>
          <c:idx val="0"/>
          <c:order val="0"/>
          <c:tx>
            <c:strRef>
              <c:f>'pivot tables'!$B$12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DE6-45C8-920E-6855E4496AA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DE6-45C8-920E-6855E4496AA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DE6-45C8-920E-6855E4496AA9}"/>
              </c:ext>
            </c:extLst>
          </c:dPt>
          <c:cat>
            <c:strRef>
              <c:f>'pivot tables'!$A$13:$A$16</c:f>
              <c:strCache>
                <c:ptCount val="3"/>
                <c:pt idx="0">
                  <c:v>UPI</c:v>
                </c:pt>
                <c:pt idx="1">
                  <c:v>Cash</c:v>
                </c:pt>
                <c:pt idx="2">
                  <c:v>Card</c:v>
                </c:pt>
              </c:strCache>
            </c:strRef>
          </c:cat>
          <c:val>
            <c:numRef>
              <c:f>'pivot tables'!$B$13:$B$16</c:f>
              <c:numCache>
                <c:formatCode>#,##0</c:formatCode>
                <c:ptCount val="3"/>
                <c:pt idx="0">
                  <c:v>390000</c:v>
                </c:pt>
                <c:pt idx="1">
                  <c:v>56500</c:v>
                </c:pt>
                <c:pt idx="2">
                  <c:v>339000</c:v>
                </c:pt>
              </c:numCache>
            </c:numRef>
          </c:val>
          <c:extLst>
            <c:ext xmlns:c16="http://schemas.microsoft.com/office/drawing/2014/chart" uri="{C3380CC4-5D6E-409C-BE32-E72D297353CC}">
              <c16:uniqueId val="{00000006-7DE6-45C8-920E-6855E4496AA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409575</xdr:colOff>
      <xdr:row>6</xdr:row>
      <xdr:rowOff>66674</xdr:rowOff>
    </xdr:from>
    <xdr:to>
      <xdr:col>4</xdr:col>
      <xdr:colOff>381000</xdr:colOff>
      <xdr:row>18</xdr:row>
      <xdr:rowOff>47625</xdr:rowOff>
    </xdr:to>
    <xdr:graphicFrame macro="">
      <xdr:nvGraphicFramePr>
        <xdr:cNvPr id="3" name="Chart 2">
          <a:extLst>
            <a:ext uri="{FF2B5EF4-FFF2-40B4-BE49-F238E27FC236}">
              <a16:creationId xmlns:a16="http://schemas.microsoft.com/office/drawing/2014/main" id="{B51F8D06-8320-407F-9A0C-38979C937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19</xdr:row>
      <xdr:rowOff>133350</xdr:rowOff>
    </xdr:from>
    <xdr:to>
      <xdr:col>8</xdr:col>
      <xdr:colOff>390525</xdr:colOff>
      <xdr:row>32</xdr:row>
      <xdr:rowOff>171450</xdr:rowOff>
    </xdr:to>
    <xdr:graphicFrame macro="">
      <xdr:nvGraphicFramePr>
        <xdr:cNvPr id="2" name="Chart 1">
          <a:extLst>
            <a:ext uri="{FF2B5EF4-FFF2-40B4-BE49-F238E27FC236}">
              <a16:creationId xmlns:a16="http://schemas.microsoft.com/office/drawing/2014/main" id="{3FB8678B-EEA1-4D57-A39A-C48BF939B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352425</xdr:colOff>
      <xdr:row>19</xdr:row>
      <xdr:rowOff>123825</xdr:rowOff>
    </xdr:from>
    <xdr:to>
      <xdr:col>4</xdr:col>
      <xdr:colOff>514350</xdr:colOff>
      <xdr:row>33</xdr:row>
      <xdr:rowOff>0</xdr:rowOff>
    </xdr:to>
    <xdr:graphicFrame macro="">
      <xdr:nvGraphicFramePr>
        <xdr:cNvPr id="5" name="Chart 4">
          <a:extLst>
            <a:ext uri="{FF2B5EF4-FFF2-40B4-BE49-F238E27FC236}">
              <a16:creationId xmlns:a16="http://schemas.microsoft.com/office/drawing/2014/main" id="{4172B7F9-435B-4D11-8E05-9E06C6B1C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600075</xdr:colOff>
      <xdr:row>6</xdr:row>
      <xdr:rowOff>9525</xdr:rowOff>
    </xdr:from>
    <xdr:to>
      <xdr:col>8</xdr:col>
      <xdr:colOff>361950</xdr:colOff>
      <xdr:row>18</xdr:row>
      <xdr:rowOff>76200</xdr:rowOff>
    </xdr:to>
    <xdr:graphicFrame macro="">
      <xdr:nvGraphicFramePr>
        <xdr:cNvPr id="6" name="Chart 5">
          <a:extLst>
            <a:ext uri="{FF2B5EF4-FFF2-40B4-BE49-F238E27FC236}">
              <a16:creationId xmlns:a16="http://schemas.microsoft.com/office/drawing/2014/main" id="{D06598FE-D8FD-4443-ACA6-E15601C7C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380999</xdr:colOff>
      <xdr:row>5</xdr:row>
      <xdr:rowOff>193475</xdr:rowOff>
    </xdr:from>
    <xdr:to>
      <xdr:col>14</xdr:col>
      <xdr:colOff>297656</xdr:colOff>
      <xdr:row>14</xdr:row>
      <xdr:rowOff>44647</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C2FBD2E-2E95-4EBD-9392-3E3DAFD9C1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12015" y="1443631"/>
              <a:ext cx="2967633" cy="1592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420292</xdr:colOff>
      <xdr:row>24</xdr:row>
      <xdr:rowOff>86914</xdr:rowOff>
    </xdr:from>
    <xdr:to>
      <xdr:col>14</xdr:col>
      <xdr:colOff>357188</xdr:colOff>
      <xdr:row>32</xdr:row>
      <xdr:rowOff>104179</xdr:rowOff>
    </xdr:to>
    <mc:AlternateContent xmlns:mc="http://schemas.openxmlformats.org/markup-compatibility/2006" xmlns:a14="http://schemas.microsoft.com/office/drawing/2010/main">
      <mc:Choice Requires="a14">
        <xdr:graphicFrame macro="">
          <xdr:nvGraphicFramePr>
            <xdr:cNvPr id="8" name="PaymentMode 1">
              <a:extLst>
                <a:ext uri="{FF2B5EF4-FFF2-40B4-BE49-F238E27FC236}">
                  <a16:creationId xmlns:a16="http://schemas.microsoft.com/office/drawing/2014/main" id="{06AFB5DA-998D-4F5A-A4E4-EC89DB9B915E}"/>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10451308" y="5013125"/>
              <a:ext cx="2987872" cy="1565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395882</xdr:colOff>
      <xdr:row>15</xdr:row>
      <xdr:rowOff>59530</xdr:rowOff>
    </xdr:from>
    <xdr:to>
      <xdr:col>14</xdr:col>
      <xdr:colOff>297656</xdr:colOff>
      <xdr:row>23</xdr:row>
      <xdr:rowOff>59531</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8215E195-BEBA-4FE6-8860-003005C9792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426898" y="3244452"/>
              <a:ext cx="2952750" cy="1547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3</xdr:row>
      <xdr:rowOff>0</xdr:rowOff>
    </xdr:from>
    <xdr:to>
      <xdr:col>7</xdr:col>
      <xdr:colOff>276224</xdr:colOff>
      <xdr:row>13</xdr:row>
      <xdr:rowOff>128586</xdr:rowOff>
    </xdr:to>
    <xdr:graphicFrame macro="">
      <xdr:nvGraphicFramePr>
        <xdr:cNvPr id="2" name="Chart 1">
          <a:extLst>
            <a:ext uri="{FF2B5EF4-FFF2-40B4-BE49-F238E27FC236}">
              <a16:creationId xmlns:a16="http://schemas.microsoft.com/office/drawing/2014/main" id="{0A4D1447-69E7-4223-9516-FF97B05AF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381001</xdr:colOff>
      <xdr:row>14</xdr:row>
      <xdr:rowOff>28575</xdr:rowOff>
    </xdr:from>
    <xdr:to>
      <xdr:col>15</xdr:col>
      <xdr:colOff>381001</xdr:colOff>
      <xdr:row>22</xdr:row>
      <xdr:rowOff>171450</xdr:rowOff>
    </xdr:to>
    <xdr:graphicFrame macro="">
      <xdr:nvGraphicFramePr>
        <xdr:cNvPr id="3" name="Chart 2">
          <a:extLst>
            <a:ext uri="{FF2B5EF4-FFF2-40B4-BE49-F238E27FC236}">
              <a16:creationId xmlns:a16="http://schemas.microsoft.com/office/drawing/2014/main" id="{D88F9FF4-C157-4DB2-A030-FD3E40F20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352425</xdr:colOff>
      <xdr:row>3</xdr:row>
      <xdr:rowOff>38100</xdr:rowOff>
    </xdr:from>
    <xdr:to>
      <xdr:col>15</xdr:col>
      <xdr:colOff>314324</xdr:colOff>
      <xdr:row>13</xdr:row>
      <xdr:rowOff>138113</xdr:rowOff>
    </xdr:to>
    <xdr:graphicFrame macro="">
      <xdr:nvGraphicFramePr>
        <xdr:cNvPr id="4" name="Chart 3">
          <a:extLst>
            <a:ext uri="{FF2B5EF4-FFF2-40B4-BE49-F238E27FC236}">
              <a16:creationId xmlns:a16="http://schemas.microsoft.com/office/drawing/2014/main" id="{6D27EA1E-58FA-4684-B0A8-19C37F4B9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342900</xdr:colOff>
      <xdr:row>16</xdr:row>
      <xdr:rowOff>47625</xdr:rowOff>
    </xdr:from>
    <xdr:to>
      <xdr:col>20</xdr:col>
      <xdr:colOff>342900</xdr:colOff>
      <xdr:row>23</xdr:row>
      <xdr:rowOff>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BFCAB63B-7FB3-DE33-1D8C-8D9CB847BA7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06100" y="30956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333375</xdr:colOff>
      <xdr:row>1</xdr:row>
      <xdr:rowOff>104776</xdr:rowOff>
    </xdr:from>
    <xdr:to>
      <xdr:col>20</xdr:col>
      <xdr:colOff>333375</xdr:colOff>
      <xdr:row>9</xdr:row>
      <xdr:rowOff>66676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C066923-0C58-83E6-56F2-9C6BAFCF35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96575" y="295276"/>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14</xdr:row>
      <xdr:rowOff>104774</xdr:rowOff>
    </xdr:from>
    <xdr:to>
      <xdr:col>7</xdr:col>
      <xdr:colOff>247650</xdr:colOff>
      <xdr:row>23</xdr:row>
      <xdr:rowOff>47625</xdr:rowOff>
    </xdr:to>
    <xdr:graphicFrame macro="">
      <xdr:nvGraphicFramePr>
        <xdr:cNvPr id="10" name="Chart 9">
          <a:extLst>
            <a:ext uri="{FF2B5EF4-FFF2-40B4-BE49-F238E27FC236}">
              <a16:creationId xmlns:a16="http://schemas.microsoft.com/office/drawing/2014/main" id="{282B1B99-9D33-40E7-9142-583E805D8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342900</xdr:colOff>
      <xdr:row>9</xdr:row>
      <xdr:rowOff>38101</xdr:rowOff>
    </xdr:from>
    <xdr:to>
      <xdr:col>20</xdr:col>
      <xdr:colOff>371476</xdr:colOff>
      <xdr:row>15</xdr:row>
      <xdr:rowOff>171451</xdr:rowOff>
    </xdr:to>
    <mc:AlternateContent xmlns:mc="http://schemas.openxmlformats.org/markup-compatibility/2006" xmlns:a14="http://schemas.microsoft.com/office/drawing/2010/main">
      <mc:Choice Requires="a14">
        <xdr:graphicFrame macro="">
          <xdr:nvGraphicFramePr>
            <xdr:cNvPr id="11" name="PaymentMode">
              <a:extLst>
                <a:ext uri="{FF2B5EF4-FFF2-40B4-BE49-F238E27FC236}">
                  <a16:creationId xmlns:a16="http://schemas.microsoft.com/office/drawing/2014/main" id="{9A89B8BD-C630-4D93-9BED-4BDED9EB3927}"/>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0706100" y="1752601"/>
              <a:ext cx="16192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e Ashwini" refreshedDate="46256.968139583332" createdVersion="8" refreshedVersion="8" minRefreshableVersion="3" recordCount="20" xr:uid="{3D595CAF-4A9E-408B-B021-623989C91860}">
  <cacheSource type="worksheet">
    <worksheetSource ref="A1:K21" sheet="Sales Data"/>
  </cacheSource>
  <cacheFields count="11">
    <cacheField name="OrderID" numFmtId="0">
      <sharedItems/>
    </cacheField>
    <cacheField name="OrderDate" numFmtId="0">
      <sharedItems/>
    </cacheField>
    <cacheField name="Region" numFmtId="0">
      <sharedItems count="4">
        <s v="South"/>
        <s v="West"/>
        <s v="North"/>
        <s v="East"/>
      </sharedItems>
    </cacheField>
    <cacheField name="City" numFmtId="0">
      <sharedItems count="8">
        <s v="Hyderabad"/>
        <s v="Chennai"/>
        <s v="Mumbai"/>
        <s v="Delhi"/>
        <s v="Kolkata"/>
        <s v="Bengaluru"/>
        <s v="Pune"/>
        <s v="Jaipur"/>
      </sharedItems>
    </cacheField>
    <cacheField name="Salesperson" numFmtId="0">
      <sharedItems count="9">
        <s v="Rahul"/>
        <s v="Priya"/>
        <s v="Arjun"/>
        <s v="Sneha"/>
        <s v="Ravi"/>
        <s v="Kiran"/>
        <s v="Anjali"/>
        <s v="Amit"/>
        <s v="Neha"/>
      </sharedItems>
    </cacheField>
    <cacheField name="Category" numFmtId="0">
      <sharedItems count="3">
        <s v="Electronics"/>
        <s v="Furniture"/>
        <s v="Stationery"/>
      </sharedItems>
    </cacheField>
    <cacheField name="Product" numFmtId="0">
      <sharedItems count="11">
        <s v="Laptop"/>
        <s v="Mobile"/>
        <s v="Office Chair"/>
        <s v="Monitor"/>
        <s v="Notebook"/>
        <s v="Keyboard"/>
        <s v="Table"/>
        <s v="Headphones"/>
        <s v="Pen"/>
        <s v="Printer"/>
        <s v="Desk"/>
      </sharedItems>
    </cacheField>
    <cacheField name="Qty" numFmtId="0">
      <sharedItems containsSemiMixedTypes="0" containsString="0" containsNumber="1" containsInteger="1" minValue="1" maxValue="50"/>
    </cacheField>
    <cacheField name="UnitPrice" numFmtId="3">
      <sharedItems containsSemiMixedTypes="0" containsString="0" containsNumber="1" containsInteger="1" minValue="20" maxValue="55000"/>
    </cacheField>
    <cacheField name="Sales" numFmtId="3">
      <sharedItems containsSemiMixedTypes="0" containsString="0" containsNumber="1" containsInteger="1" minValue="1000" maxValue="125000"/>
    </cacheField>
    <cacheField name="PaymentMode" numFmtId="0">
      <sharedItems count="3">
        <s v="UPI"/>
        <s v="Card"/>
        <s v="Cash"/>
      </sharedItems>
    </cacheField>
  </cacheFields>
  <extLst>
    <ext xmlns:x14="http://schemas.microsoft.com/office/spreadsheetml/2009/9/main" uri="{725AE2AE-9491-48be-B2B4-4EB974FC3084}">
      <x14:pivotCacheDefinition pivotCacheId="713139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1001"/>
    <s v="05-01-2026"/>
    <x v="0"/>
    <x v="0"/>
    <x v="0"/>
    <x v="0"/>
    <x v="0"/>
    <n v="2"/>
    <n v="55000"/>
    <n v="110000"/>
    <x v="0"/>
  </r>
  <r>
    <s v="ORD1002"/>
    <s v="06-01-2026"/>
    <x v="0"/>
    <x v="1"/>
    <x v="1"/>
    <x v="0"/>
    <x v="1"/>
    <n v="3"/>
    <n v="25000"/>
    <n v="75000"/>
    <x v="1"/>
  </r>
  <r>
    <s v="ORD1003"/>
    <s v="08-01-2026"/>
    <x v="1"/>
    <x v="2"/>
    <x v="2"/>
    <x v="1"/>
    <x v="2"/>
    <n v="5"/>
    <n v="6500"/>
    <n v="32500"/>
    <x v="2"/>
  </r>
  <r>
    <s v="ORD1004"/>
    <s v="10-01-2026"/>
    <x v="2"/>
    <x v="3"/>
    <x v="3"/>
    <x v="0"/>
    <x v="3"/>
    <n v="4"/>
    <n v="12000"/>
    <n v="48000"/>
    <x v="0"/>
  </r>
  <r>
    <s v="ORD1005"/>
    <s v="12-01-2026"/>
    <x v="3"/>
    <x v="4"/>
    <x v="4"/>
    <x v="2"/>
    <x v="4"/>
    <n v="20"/>
    <n v="120"/>
    <n v="2400"/>
    <x v="2"/>
  </r>
  <r>
    <s v="ORD1006"/>
    <s v="15-01-2026"/>
    <x v="0"/>
    <x v="5"/>
    <x v="5"/>
    <x v="0"/>
    <x v="5"/>
    <n v="10"/>
    <n v="1500"/>
    <n v="15000"/>
    <x v="1"/>
  </r>
  <r>
    <s v="ORD1007"/>
    <s v="18-01-2026"/>
    <x v="1"/>
    <x v="6"/>
    <x v="6"/>
    <x v="1"/>
    <x v="6"/>
    <n v="3"/>
    <n v="8500"/>
    <n v="25500"/>
    <x v="0"/>
  </r>
  <r>
    <s v="ORD1008"/>
    <s v="20-01-2026"/>
    <x v="2"/>
    <x v="7"/>
    <x v="7"/>
    <x v="0"/>
    <x v="7"/>
    <n v="8"/>
    <n v="2200"/>
    <n v="17600"/>
    <x v="1"/>
  </r>
  <r>
    <s v="ORD1009"/>
    <s v="22-01-2026"/>
    <x v="3"/>
    <x v="4"/>
    <x v="8"/>
    <x v="2"/>
    <x v="8"/>
    <n v="50"/>
    <n v="20"/>
    <n v="1000"/>
    <x v="2"/>
  </r>
  <r>
    <s v="ORD1010"/>
    <s v="25-01-2026"/>
    <x v="0"/>
    <x v="0"/>
    <x v="0"/>
    <x v="0"/>
    <x v="9"/>
    <n v="2"/>
    <n v="18000"/>
    <n v="36000"/>
    <x v="0"/>
  </r>
  <r>
    <s v="ORD1011"/>
    <s v="28-01-2026"/>
    <x v="1"/>
    <x v="2"/>
    <x v="2"/>
    <x v="1"/>
    <x v="10"/>
    <n v="4"/>
    <n v="11000"/>
    <n v="44000"/>
    <x v="1"/>
  </r>
  <r>
    <s v="ORD1012"/>
    <s v="02-02-2026"/>
    <x v="2"/>
    <x v="3"/>
    <x v="3"/>
    <x v="0"/>
    <x v="0"/>
    <n v="1"/>
    <n v="55000"/>
    <n v="55000"/>
    <x v="0"/>
  </r>
  <r>
    <s v="ORD1013"/>
    <s v="05-02-2026"/>
    <x v="0"/>
    <x v="1"/>
    <x v="1"/>
    <x v="0"/>
    <x v="1"/>
    <n v="5"/>
    <n v="25000"/>
    <n v="125000"/>
    <x v="1"/>
  </r>
  <r>
    <s v="ORD1014"/>
    <s v="08-02-2026"/>
    <x v="3"/>
    <x v="4"/>
    <x v="4"/>
    <x v="2"/>
    <x v="4"/>
    <n v="30"/>
    <n v="120"/>
    <n v="3600"/>
    <x v="2"/>
  </r>
  <r>
    <s v="ORD1015"/>
    <s v="12-02-2026"/>
    <x v="1"/>
    <x v="6"/>
    <x v="6"/>
    <x v="1"/>
    <x v="2"/>
    <n v="6"/>
    <n v="6500"/>
    <n v="39000"/>
    <x v="0"/>
  </r>
  <r>
    <s v="ORD1016"/>
    <s v="15-02-2026"/>
    <x v="2"/>
    <x v="7"/>
    <x v="7"/>
    <x v="0"/>
    <x v="3"/>
    <n v="3"/>
    <n v="12000"/>
    <n v="36000"/>
    <x v="1"/>
  </r>
  <r>
    <s v="ORD1017"/>
    <s v="18-02-2026"/>
    <x v="0"/>
    <x v="5"/>
    <x v="5"/>
    <x v="0"/>
    <x v="5"/>
    <n v="15"/>
    <n v="1500"/>
    <n v="22500"/>
    <x v="0"/>
  </r>
  <r>
    <s v="ORD1018"/>
    <s v="20-02-2026"/>
    <x v="1"/>
    <x v="2"/>
    <x v="2"/>
    <x v="1"/>
    <x v="6"/>
    <n v="2"/>
    <n v="8500"/>
    <n v="17000"/>
    <x v="2"/>
  </r>
  <r>
    <s v="ORD1019"/>
    <s v="23-02-2026"/>
    <x v="2"/>
    <x v="3"/>
    <x v="3"/>
    <x v="0"/>
    <x v="7"/>
    <n v="12"/>
    <n v="2200"/>
    <n v="26400"/>
    <x v="1"/>
  </r>
  <r>
    <s v="ORD1020"/>
    <s v="26-02-2026"/>
    <x v="0"/>
    <x v="0"/>
    <x v="0"/>
    <x v="0"/>
    <x v="9"/>
    <n v="3"/>
    <n v="18000"/>
    <n v="54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7BDF8-071B-476C-9117-42AA738DB5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6" firstHeaderRow="1" firstDataRow="1" firstDataCol="1"/>
  <pivotFields count="11">
    <pivotField showAll="0"/>
    <pivotField showAll="0"/>
    <pivotField showAll="0"/>
    <pivotField showAll="0"/>
    <pivotField showAll="0"/>
    <pivotField showAll="0"/>
    <pivotField showAll="0"/>
    <pivotField showAll="0"/>
    <pivotField numFmtId="3" showAll="0"/>
    <pivotField dataField="1" numFmtId="3" showAll="0"/>
    <pivotField axis="axisRow" showAll="0" sortType="descending">
      <items count="4">
        <item x="0"/>
        <item x="2"/>
        <item x="1"/>
        <item t="default"/>
      </items>
    </pivotField>
  </pivotFields>
  <rowFields count="1">
    <field x="10"/>
  </rowFields>
  <rowItems count="4">
    <i>
      <x/>
    </i>
    <i>
      <x v="1"/>
    </i>
    <i>
      <x v="2"/>
    </i>
    <i t="grand">
      <x/>
    </i>
  </rowItems>
  <colItems count="1">
    <i/>
  </colItems>
  <dataFields count="1">
    <dataField name="Sum of Sales" fld="9" baseField="0" baseItem="0" numFmtId="3"/>
  </dataFields>
  <chartFormats count="1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0" count="1" selected="0">
            <x v="0"/>
          </reference>
        </references>
      </pivotArea>
    </chartFormat>
    <chartFormat chart="3" format="3">
      <pivotArea type="data" outline="0" fieldPosition="0">
        <references count="2">
          <reference field="4294967294" count="1" selected="0">
            <x v="0"/>
          </reference>
          <reference field="10" count="1" selected="0">
            <x v="1"/>
          </reference>
        </references>
      </pivotArea>
    </chartFormat>
    <chartFormat chart="3" format="4">
      <pivotArea type="data" outline="0" fieldPosition="0">
        <references count="2">
          <reference field="4294967294" count="1" selected="0">
            <x v="0"/>
          </reference>
          <reference field="10"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0" count="1" selected="0">
            <x v="0"/>
          </reference>
        </references>
      </pivotArea>
    </chartFormat>
    <chartFormat chart="7" format="15">
      <pivotArea type="data" outline="0" fieldPosition="0">
        <references count="2">
          <reference field="4294967294" count="1" selected="0">
            <x v="0"/>
          </reference>
          <reference field="10" count="1" selected="0">
            <x v="1"/>
          </reference>
        </references>
      </pivotArea>
    </chartFormat>
    <chartFormat chart="7"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2EFA1-9B8F-4EB7-B928-B94878605B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5" firstHeaderRow="1" firstDataRow="1" firstDataCol="1"/>
  <pivotFields count="11">
    <pivotField showAll="0"/>
    <pivotField showAll="0"/>
    <pivotField showAll="0"/>
    <pivotField showAll="0"/>
    <pivotField showAll="0"/>
    <pivotField showAll="0"/>
    <pivotField axis="axisRow" showAll="0">
      <items count="12">
        <item x="10"/>
        <item x="7"/>
        <item x="5"/>
        <item x="0"/>
        <item x="1"/>
        <item x="3"/>
        <item x="4"/>
        <item x="2"/>
        <item x="8"/>
        <item x="9"/>
        <item x="6"/>
        <item t="default"/>
      </items>
    </pivotField>
    <pivotField dataField="1" showAll="0"/>
    <pivotField numFmtId="3" showAll="0"/>
    <pivotField numFmtId="3" showAll="0"/>
    <pivotField showAll="0"/>
  </pivotFields>
  <rowFields count="1">
    <field x="6"/>
  </rowFields>
  <rowItems count="12">
    <i>
      <x/>
    </i>
    <i>
      <x v="1"/>
    </i>
    <i>
      <x v="2"/>
    </i>
    <i>
      <x v="3"/>
    </i>
    <i>
      <x v="4"/>
    </i>
    <i>
      <x v="5"/>
    </i>
    <i>
      <x v="6"/>
    </i>
    <i>
      <x v="7"/>
    </i>
    <i>
      <x v="8"/>
    </i>
    <i>
      <x v="9"/>
    </i>
    <i>
      <x v="10"/>
    </i>
    <i t="grand">
      <x/>
    </i>
  </rowItems>
  <colItems count="1">
    <i/>
  </colItems>
  <dataFields count="1">
    <dataField name="Sum of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C145C9-290F-4390-83A1-B572088000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7" firstHeaderRow="1" firstDataRow="1" firstDataCol="1"/>
  <pivotFields count="11">
    <pivotField showAll="0"/>
    <pivotField showAll="0"/>
    <pivotField showAll="0"/>
    <pivotField showAll="0"/>
    <pivotField showAll="0"/>
    <pivotField axis="axisRow" showAll="0">
      <items count="4">
        <item x="0"/>
        <item x="1"/>
        <item x="2"/>
        <item t="default"/>
      </items>
    </pivotField>
    <pivotField showAll="0"/>
    <pivotField showAll="0"/>
    <pivotField numFmtId="3" showAll="0"/>
    <pivotField dataField="1" numFmtId="3" showAll="0"/>
    <pivotField showAll="0"/>
  </pivotFields>
  <rowFields count="1">
    <field x="5"/>
  </rowFields>
  <rowItems count="4">
    <i>
      <x/>
    </i>
    <i>
      <x v="1"/>
    </i>
    <i>
      <x v="2"/>
    </i>
    <i t="grand">
      <x/>
    </i>
  </rowItems>
  <colItems count="1">
    <i/>
  </colItems>
  <dataFields count="1">
    <dataField name="Sum of Sales" fld="9" baseField="0" baseItem="0" numFmtId="3"/>
  </dataFields>
  <chartFormats count="12">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5" count="1" selected="0">
            <x v="0"/>
          </reference>
        </references>
      </pivotArea>
    </chartFormat>
    <chartFormat chart="19" format="15">
      <pivotArea type="data" outline="0" fieldPosition="0">
        <references count="2">
          <reference field="4294967294" count="1" selected="0">
            <x v="0"/>
          </reference>
          <reference field="5" count="1" selected="0">
            <x v="1"/>
          </reference>
        </references>
      </pivotArea>
    </chartFormat>
    <chartFormat chart="19"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173105-F61C-43AC-A379-D626DA17117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3" firstHeaderRow="1" firstDataRow="1" firstDataCol="1"/>
  <pivotFields count="11">
    <pivotField showAll="0"/>
    <pivotField showAll="0"/>
    <pivotField showAll="0"/>
    <pivotField showAll="0"/>
    <pivotField axis="axisRow" showAll="0">
      <items count="10">
        <item x="7"/>
        <item x="6"/>
        <item x="2"/>
        <item x="5"/>
        <item x="8"/>
        <item x="1"/>
        <item x="0"/>
        <item x="4"/>
        <item x="3"/>
        <item t="default"/>
      </items>
    </pivotField>
    <pivotField showAll="0"/>
    <pivotField showAll="0"/>
    <pivotField showAll="0"/>
    <pivotField numFmtId="3" showAll="0"/>
    <pivotField dataField="1" numFmtId="3" showAll="0"/>
    <pivotField showAll="0"/>
  </pivotFields>
  <rowFields count="1">
    <field x="4"/>
  </rowFields>
  <rowItems count="10">
    <i>
      <x/>
    </i>
    <i>
      <x v="1"/>
    </i>
    <i>
      <x v="2"/>
    </i>
    <i>
      <x v="3"/>
    </i>
    <i>
      <x v="4"/>
    </i>
    <i>
      <x v="5"/>
    </i>
    <i>
      <x v="6"/>
    </i>
    <i>
      <x v="7"/>
    </i>
    <i>
      <x v="8"/>
    </i>
    <i t="grand">
      <x/>
    </i>
  </rowItems>
  <colItems count="1">
    <i/>
  </colItems>
  <dataFields count="1">
    <dataField name="Sum of Sales" fld="9" baseField="0" baseItem="0" numFmtId="3"/>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5E9A5E-BC83-4165-B559-FAADDB0CC6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1">
    <pivotField showAll="0"/>
    <pivotField showAll="0"/>
    <pivotField axis="axisRow" showAll="0">
      <items count="5">
        <item x="3"/>
        <item x="2"/>
        <item x="0"/>
        <item x="1"/>
        <item t="default"/>
      </items>
    </pivotField>
    <pivotField showAll="0"/>
    <pivotField showAll="0"/>
    <pivotField showAll="0"/>
    <pivotField showAll="0"/>
    <pivotField showAll="0"/>
    <pivotField numFmtId="3" showAll="0"/>
    <pivotField dataField="1" numFmtId="3" showAll="0"/>
    <pivotField showAll="0"/>
  </pivotFields>
  <rowFields count="1">
    <field x="2"/>
  </rowFields>
  <rowItems count="5">
    <i>
      <x/>
    </i>
    <i>
      <x v="1"/>
    </i>
    <i>
      <x v="2"/>
    </i>
    <i>
      <x v="3"/>
    </i>
    <i t="grand">
      <x/>
    </i>
  </rowItems>
  <colItems count="1">
    <i/>
  </colItems>
  <dataFields count="1">
    <dataField name="Sum of Sales" fld="9" baseField="0" baseItem="0" numFmtId="3"/>
  </dataFields>
  <chartFormats count="4">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A530A-0452-46D4-8AB0-326AB8A7A8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21" firstHeaderRow="1" firstDataRow="1" firstDataCol="1"/>
  <pivotFields count="11">
    <pivotField showAll="0"/>
    <pivotField showAll="0"/>
    <pivotField showAll="0"/>
    <pivotField axis="axisRow" showAll="0">
      <items count="9">
        <item x="5"/>
        <item x="1"/>
        <item x="3"/>
        <item x="0"/>
        <item x="7"/>
        <item x="4"/>
        <item x="2"/>
        <item x="6"/>
        <item t="default"/>
      </items>
    </pivotField>
    <pivotField showAll="0"/>
    <pivotField showAll="0"/>
    <pivotField showAll="0"/>
    <pivotField showAll="0"/>
    <pivotField numFmtId="3" showAll="0"/>
    <pivotField dataField="1" numFmtId="3" showAll="0"/>
    <pivotField showAll="0"/>
  </pivotFields>
  <rowFields count="1">
    <field x="3"/>
  </rowFields>
  <rowItems count="9">
    <i>
      <x/>
    </i>
    <i>
      <x v="1"/>
    </i>
    <i>
      <x v="2"/>
    </i>
    <i>
      <x v="3"/>
    </i>
    <i>
      <x v="4"/>
    </i>
    <i>
      <x v="5"/>
    </i>
    <i>
      <x v="6"/>
    </i>
    <i>
      <x v="7"/>
    </i>
    <i t="grand">
      <x/>
    </i>
  </rowItems>
  <colItems count="1">
    <i/>
  </colItems>
  <dataFields count="1">
    <dataField name="Sum of Sale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FB9C91-551E-44C5-ADC1-FE2E06014D5D}" sourceName="Category">
  <pivotTables>
    <pivotTable tabId="5" name="PivotTable4"/>
  </pivotTables>
  <data>
    <tabular pivotCacheId="7131397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5161B9-A4B6-4467-B9FB-9C037AD6B97E}" sourceName="Region">
  <pivotTables>
    <pivotTable tabId="5" name="PivotTable3"/>
  </pivotTables>
  <data>
    <tabular pivotCacheId="713139739">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3C2AB3A2-2054-4DF9-AC5E-BD93BC5AAA81}" sourceName="PaymentMode">
  <pivotTables>
    <pivotTable tabId="5" name="PivotTable7"/>
  </pivotTables>
  <data>
    <tabular pivotCacheId="71313973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01EA80F-AF11-4549-B226-20B2A833E02B}" cache="Slicer_Category" caption="Category" style="SlicerStyleLight2" rowHeight="241300"/>
  <slicer name="Region 1" xr10:uid="{F1267674-EB58-4369-AD92-FF6D4A33BAF8}" cache="Slicer_Region" caption="Region" style="SlicerStyleLight5" rowHeight="241300"/>
  <slicer name="PaymentMode 1" xr10:uid="{EF69AAB4-F5B9-44C3-B7C3-B7A4FCA90ED3}" cache="Slicer_PaymentMode" caption="PaymentMode"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902131C-ACE8-41F1-AEF6-43B7DDA25771}" cache="Slicer_Category" caption="Category" style="SlicerStyleLight6" rowHeight="241300"/>
  <slicer name="Region" xr10:uid="{26237D93-D9ED-4ABC-89B6-BFA07C49D9F4}" cache="Slicer_Region" caption="Region" style="SlicerStyleLight2" rowHeight="241300"/>
  <slicer name="PaymentMode" xr10:uid="{24D84EF4-7C59-42A6-955D-EF07A96CAB7E}" cache="Slicer_PaymentMode" caption="PaymentMode"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975754-6AEB-46CE-BECE-DEE91BDBF084}" name="Table2" displayName="Table2" ref="A1:K21" totalsRowShown="0" headerRowDxfId="2">
  <autoFilter ref="A1:K21" xr:uid="{00000000-0009-0000-0000-000000000000}"/>
  <tableColumns count="11">
    <tableColumn id="1" xr3:uid="{568D3CC5-DA59-498A-BF0B-0350A29AA1CE}" name="OrderID"/>
    <tableColumn id="2" xr3:uid="{BB8B196A-B449-4097-B29F-3BFEBE8771E6}" name="OrderDate"/>
    <tableColumn id="3" xr3:uid="{243DEE43-C3E3-43B8-BEA2-A807DBF165B0}" name="Region"/>
    <tableColumn id="4" xr3:uid="{E62C8695-DF18-4D1F-9704-E2F0615DFD8A}" name="City"/>
    <tableColumn id="5" xr3:uid="{79429F76-23B2-460D-BF4C-DE265FCA05FF}" name="Salesperson"/>
    <tableColumn id="6" xr3:uid="{AA724560-CA88-4D37-992D-E3B3E5851868}" name="Category"/>
    <tableColumn id="7" xr3:uid="{5F9B2CC2-13C8-487C-A30A-31D3AA136E2B}" name="Product"/>
    <tableColumn id="8" xr3:uid="{A129A1C0-8559-4F7A-9CC0-2359E1CA27B5}" name="Qty"/>
    <tableColumn id="9" xr3:uid="{427AB76F-5D02-4243-976D-08CD2EB7E5A9}" name="UnitPrice" dataDxfId="1"/>
    <tableColumn id="10" xr3:uid="{F2D82076-6E7B-485D-9CF2-4AF85CCFE88C}" name="Sales" dataDxfId="0">
      <calculatedColumnFormula>H2*I2</calculatedColumnFormula>
    </tableColumn>
    <tableColumn id="11" xr3:uid="{0806C0B1-7B88-4A51-938A-573CB1DA1299}" name="PaymentMode"/>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95E09B-8540-4790-8992-02A520044331}">
  <we:reference id="wa200009404" version="1.0.0.8" store="en-US" storeType="OMEX"/>
  <we:alternateReferences>
    <we:reference id="WA200009404" version="1.0.0.8" store="WA200009404" storeType="OMEX"/>
  </we:alternateReferences>
  <we:properties>
    <we:property name="claude.fileId" value="&quot;e36473c3-523e-4b90-ae1e-007c64e921c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A0A45-58E8-47D5-AF96-B2AB89F03A65}">
  <dimension ref="B2:S19"/>
  <sheetViews>
    <sheetView showGridLines="0" zoomScale="70" zoomScaleNormal="70" workbookViewId="0">
      <selection activeCell="S19" sqref="S19"/>
    </sheetView>
  </sheetViews>
  <sheetFormatPr defaultRowHeight="15" x14ac:dyDescent="0.25"/>
  <cols>
    <col min="2" max="2" width="23.42578125" customWidth="1"/>
    <col min="4" max="4" width="21.42578125" bestFit="1" customWidth="1"/>
    <col min="6" max="6" width="24.28515625" bestFit="1" customWidth="1"/>
    <col min="7" max="7" width="17" customWidth="1"/>
    <col min="8" max="8" width="27.5703125" bestFit="1" customWidth="1"/>
  </cols>
  <sheetData>
    <row r="2" spans="2:11" ht="26.25" x14ac:dyDescent="0.4">
      <c r="B2" s="11"/>
      <c r="C2" s="11"/>
      <c r="D2" s="11"/>
      <c r="E2" s="12" t="s">
        <v>155</v>
      </c>
      <c r="F2" s="12"/>
      <c r="G2" s="12"/>
    </row>
    <row r="4" spans="2:11" ht="21" x14ac:dyDescent="0.35">
      <c r="B4" s="7" t="s">
        <v>150</v>
      </c>
      <c r="D4" s="7" t="s">
        <v>151</v>
      </c>
      <c r="F4" s="7" t="s">
        <v>152</v>
      </c>
      <c r="H4" s="7" t="s">
        <v>153</v>
      </c>
    </row>
    <row r="5" spans="2:11" ht="21" x14ac:dyDescent="0.35">
      <c r="B5" s="10">
        <v>785500</v>
      </c>
      <c r="D5" s="9">
        <v>20</v>
      </c>
      <c r="F5" s="9">
        <v>188</v>
      </c>
      <c r="H5" s="8">
        <f>'Final Dashboard'!B5/'Final Dashboard'!D5</f>
        <v>39275</v>
      </c>
    </row>
    <row r="6" spans="2:11" x14ac:dyDescent="0.25">
      <c r="J6" t="s">
        <v>154</v>
      </c>
    </row>
    <row r="7" spans="2:11" x14ac:dyDescent="0.25">
      <c r="K7" t="s">
        <v>154</v>
      </c>
    </row>
    <row r="19" spans="19:19" x14ac:dyDescent="0.25">
      <c r="S19" t="s">
        <v>154</v>
      </c>
    </row>
  </sheetData>
  <mergeCells count="2">
    <mergeCell ref="B2:D2"/>
    <mergeCell ref="E2:G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4DA0-8280-4008-8677-02B2C09A8B60}">
  <dimension ref="A3:K21"/>
  <sheetViews>
    <sheetView topLeftCell="A2" workbookViewId="0">
      <selection activeCell="L4" sqref="L4"/>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7" max="7" width="13.140625" bestFit="1" customWidth="1"/>
    <col min="8" max="8" width="12.140625" bestFit="1" customWidth="1"/>
    <col min="10" max="10" width="13.140625" bestFit="1" customWidth="1"/>
    <col min="11" max="12" width="10.7109375" bestFit="1" customWidth="1"/>
  </cols>
  <sheetData>
    <row r="3" spans="1:11" x14ac:dyDescent="0.25">
      <c r="A3" s="5" t="s">
        <v>146</v>
      </c>
      <c r="B3" t="s">
        <v>148</v>
      </c>
      <c r="D3" s="5" t="s">
        <v>146</v>
      </c>
      <c r="E3" t="s">
        <v>148</v>
      </c>
      <c r="G3" s="5" t="s">
        <v>146</v>
      </c>
      <c r="H3" t="s">
        <v>148</v>
      </c>
      <c r="J3" s="5" t="s">
        <v>146</v>
      </c>
      <c r="K3" t="s">
        <v>149</v>
      </c>
    </row>
    <row r="4" spans="1:11" x14ac:dyDescent="0.25">
      <c r="A4" s="6" t="s">
        <v>41</v>
      </c>
      <c r="B4" s="2">
        <v>7000</v>
      </c>
      <c r="D4" s="6" t="s">
        <v>16</v>
      </c>
      <c r="E4" s="2">
        <v>620500</v>
      </c>
      <c r="G4" s="6" t="s">
        <v>59</v>
      </c>
      <c r="H4" s="2">
        <v>53600</v>
      </c>
      <c r="J4" s="6" t="s">
        <v>70</v>
      </c>
      <c r="K4">
        <v>4</v>
      </c>
    </row>
    <row r="5" spans="1:11" x14ac:dyDescent="0.25">
      <c r="A5" s="6" t="s">
        <v>35</v>
      </c>
      <c r="B5" s="2">
        <v>183000</v>
      </c>
      <c r="D5" s="6" t="s">
        <v>30</v>
      </c>
      <c r="E5" s="2">
        <v>158000</v>
      </c>
      <c r="G5" s="6" t="s">
        <v>54</v>
      </c>
      <c r="H5" s="2">
        <v>64500</v>
      </c>
      <c r="J5" s="6" t="s">
        <v>60</v>
      </c>
      <c r="K5">
        <v>20</v>
      </c>
    </row>
    <row r="6" spans="1:11" x14ac:dyDescent="0.25">
      <c r="A6" s="6" t="s">
        <v>13</v>
      </c>
      <c r="B6" s="2">
        <v>437500</v>
      </c>
      <c r="D6" s="6" t="s">
        <v>44</v>
      </c>
      <c r="E6" s="2">
        <v>7000</v>
      </c>
      <c r="G6" s="6" t="s">
        <v>29</v>
      </c>
      <c r="H6" s="2">
        <v>93500</v>
      </c>
      <c r="J6" s="6" t="s">
        <v>50</v>
      </c>
      <c r="K6">
        <v>25</v>
      </c>
    </row>
    <row r="7" spans="1:11" x14ac:dyDescent="0.25">
      <c r="A7" s="6" t="s">
        <v>27</v>
      </c>
      <c r="B7" s="2">
        <v>158000</v>
      </c>
      <c r="D7" s="6" t="s">
        <v>147</v>
      </c>
      <c r="E7" s="2">
        <v>785500</v>
      </c>
      <c r="G7" s="6" t="s">
        <v>49</v>
      </c>
      <c r="H7" s="2">
        <v>37500</v>
      </c>
      <c r="J7" s="6" t="s">
        <v>17</v>
      </c>
      <c r="K7">
        <v>3</v>
      </c>
    </row>
    <row r="8" spans="1:11" x14ac:dyDescent="0.25">
      <c r="A8" s="6" t="s">
        <v>147</v>
      </c>
      <c r="B8" s="2">
        <v>785500</v>
      </c>
      <c r="G8" s="6" t="s">
        <v>63</v>
      </c>
      <c r="H8" s="2">
        <v>1000</v>
      </c>
      <c r="J8" s="6" t="s">
        <v>23</v>
      </c>
      <c r="K8">
        <v>8</v>
      </c>
    </row>
    <row r="9" spans="1:11" x14ac:dyDescent="0.25">
      <c r="G9" s="6" t="s">
        <v>22</v>
      </c>
      <c r="H9" s="2">
        <v>200000</v>
      </c>
      <c r="J9" s="6" t="s">
        <v>38</v>
      </c>
      <c r="K9">
        <v>7</v>
      </c>
    </row>
    <row r="10" spans="1:11" x14ac:dyDescent="0.25">
      <c r="G10" s="6" t="s">
        <v>15</v>
      </c>
      <c r="H10" s="2">
        <v>200000</v>
      </c>
      <c r="J10" s="6" t="s">
        <v>45</v>
      </c>
      <c r="K10">
        <v>50</v>
      </c>
    </row>
    <row r="11" spans="1:11" x14ac:dyDescent="0.25">
      <c r="G11" s="6" t="s">
        <v>43</v>
      </c>
      <c r="H11" s="2">
        <v>6000</v>
      </c>
      <c r="J11" s="6" t="s">
        <v>31</v>
      </c>
      <c r="K11">
        <v>11</v>
      </c>
    </row>
    <row r="12" spans="1:11" x14ac:dyDescent="0.25">
      <c r="A12" s="5" t="s">
        <v>146</v>
      </c>
      <c r="B12" t="s">
        <v>148</v>
      </c>
      <c r="D12" s="5" t="s">
        <v>146</v>
      </c>
      <c r="E12" t="s">
        <v>148</v>
      </c>
      <c r="G12" s="6" t="s">
        <v>37</v>
      </c>
      <c r="H12" s="2">
        <v>129400</v>
      </c>
      <c r="J12" s="6" t="s">
        <v>64</v>
      </c>
      <c r="K12">
        <v>50</v>
      </c>
    </row>
    <row r="13" spans="1:11" x14ac:dyDescent="0.25">
      <c r="A13" s="6" t="s">
        <v>18</v>
      </c>
      <c r="B13" s="2">
        <v>390000</v>
      </c>
      <c r="D13" s="6" t="s">
        <v>48</v>
      </c>
      <c r="E13" s="2">
        <v>37500</v>
      </c>
      <c r="G13" s="6" t="s">
        <v>147</v>
      </c>
      <c r="H13" s="2">
        <v>785500</v>
      </c>
      <c r="J13" s="6" t="s">
        <v>67</v>
      </c>
      <c r="K13">
        <v>5</v>
      </c>
    </row>
    <row r="14" spans="1:11" x14ac:dyDescent="0.25">
      <c r="A14" s="6" t="s">
        <v>32</v>
      </c>
      <c r="B14" s="2">
        <v>56500</v>
      </c>
      <c r="D14" s="6" t="s">
        <v>21</v>
      </c>
      <c r="E14" s="2">
        <v>200000</v>
      </c>
      <c r="J14" s="6" t="s">
        <v>55</v>
      </c>
      <c r="K14">
        <v>5</v>
      </c>
    </row>
    <row r="15" spans="1:11" x14ac:dyDescent="0.25">
      <c r="A15" s="6" t="s">
        <v>24</v>
      </c>
      <c r="B15" s="2">
        <v>339000</v>
      </c>
      <c r="D15" s="6" t="s">
        <v>36</v>
      </c>
      <c r="E15" s="2">
        <v>129400</v>
      </c>
      <c r="J15" s="6" t="s">
        <v>147</v>
      </c>
      <c r="K15">
        <v>188</v>
      </c>
    </row>
    <row r="16" spans="1:11" x14ac:dyDescent="0.25">
      <c r="A16" s="6" t="s">
        <v>147</v>
      </c>
      <c r="B16" s="2">
        <v>785500</v>
      </c>
      <c r="D16" s="6" t="s">
        <v>14</v>
      </c>
      <c r="E16" s="2">
        <v>200000</v>
      </c>
    </row>
    <row r="17" spans="4:5" x14ac:dyDescent="0.25">
      <c r="D17" s="6" t="s">
        <v>58</v>
      </c>
      <c r="E17" s="2">
        <v>53600</v>
      </c>
    </row>
    <row r="18" spans="4:5" x14ac:dyDescent="0.25">
      <c r="D18" s="6" t="s">
        <v>42</v>
      </c>
      <c r="E18" s="2">
        <v>7000</v>
      </c>
    </row>
    <row r="19" spans="4:5" x14ac:dyDescent="0.25">
      <c r="D19" s="6" t="s">
        <v>28</v>
      </c>
      <c r="E19" s="2">
        <v>93500</v>
      </c>
    </row>
    <row r="20" spans="4:5" x14ac:dyDescent="0.25">
      <c r="D20" s="6" t="s">
        <v>53</v>
      </c>
      <c r="E20" s="2">
        <v>64500</v>
      </c>
    </row>
    <row r="21" spans="4:5" x14ac:dyDescent="0.25">
      <c r="D21" s="6" t="s">
        <v>147</v>
      </c>
      <c r="E21" s="2">
        <v>785500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DA81-3C1A-45BD-9882-A5312DB17F5E}">
  <dimension ref="A1"/>
  <sheetViews>
    <sheetView zoomScale="80" zoomScaleNormal="80" workbookViewId="0">
      <selection activeCell="I13" sqref="I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workbookViewId="0">
      <pane ySplit="1" topLeftCell="A2" activePane="bottomLeft" state="frozen"/>
      <selection pane="bottomLeft" activeCell="N3" sqref="N3"/>
    </sheetView>
  </sheetViews>
  <sheetFormatPr defaultRowHeight="15" x14ac:dyDescent="0.25"/>
  <cols>
    <col min="1" max="2" width="14" customWidth="1"/>
    <col min="3" max="3" width="12" customWidth="1"/>
    <col min="4" max="4" width="14" customWidth="1"/>
    <col min="5" max="6" width="16" customWidth="1"/>
    <col min="7" max="7" width="18" customWidth="1"/>
    <col min="8" max="8" width="8" customWidth="1"/>
    <col min="9" max="10" width="14" customWidth="1"/>
    <col min="11" max="11" width="16.28515625" customWidth="1"/>
    <col min="12" max="12" width="14" customWidth="1"/>
  </cols>
  <sheetData>
    <row r="1" spans="1:15" x14ac:dyDescent="0.25">
      <c r="A1" s="1" t="s">
        <v>0</v>
      </c>
      <c r="B1" s="1" t="s">
        <v>1</v>
      </c>
      <c r="C1" s="1" t="s">
        <v>2</v>
      </c>
      <c r="D1" s="1" t="s">
        <v>3</v>
      </c>
      <c r="E1" s="1" t="s">
        <v>4</v>
      </c>
      <c r="F1" s="1" t="s">
        <v>5</v>
      </c>
      <c r="G1" s="1" t="s">
        <v>6</v>
      </c>
      <c r="H1" s="1" t="s">
        <v>7</v>
      </c>
      <c r="I1" s="1" t="s">
        <v>8</v>
      </c>
      <c r="J1" s="1" t="s">
        <v>9</v>
      </c>
      <c r="K1" s="1" t="s">
        <v>10</v>
      </c>
      <c r="L1" s="1"/>
    </row>
    <row r="2" spans="1:15" x14ac:dyDescent="0.25">
      <c r="A2" t="s">
        <v>11</v>
      </c>
      <c r="B2" t="s">
        <v>12</v>
      </c>
      <c r="C2" t="s">
        <v>13</v>
      </c>
      <c r="D2" t="s">
        <v>14</v>
      </c>
      <c r="E2" t="s">
        <v>15</v>
      </c>
      <c r="F2" t="s">
        <v>16</v>
      </c>
      <c r="G2" t="s">
        <v>17</v>
      </c>
      <c r="H2">
        <v>2</v>
      </c>
      <c r="I2" s="2">
        <v>55000</v>
      </c>
      <c r="J2" s="2">
        <f t="shared" ref="J2:J21" si="0">H2*I2</f>
        <v>110000</v>
      </c>
      <c r="K2" t="s">
        <v>18</v>
      </c>
      <c r="M2" t="s">
        <v>144</v>
      </c>
      <c r="N2" t="s">
        <v>145</v>
      </c>
      <c r="O2" s="2">
        <f>AVERAGE(J2:J21)</f>
        <v>39275</v>
      </c>
    </row>
    <row r="3" spans="1:15" x14ac:dyDescent="0.25">
      <c r="A3" t="s">
        <v>19</v>
      </c>
      <c r="B3" t="s">
        <v>20</v>
      </c>
      <c r="C3" t="s">
        <v>13</v>
      </c>
      <c r="D3" t="s">
        <v>21</v>
      </c>
      <c r="E3" t="s">
        <v>22</v>
      </c>
      <c r="F3" t="s">
        <v>16</v>
      </c>
      <c r="G3" t="s">
        <v>23</v>
      </c>
      <c r="H3">
        <v>3</v>
      </c>
      <c r="I3" s="2">
        <v>25000</v>
      </c>
      <c r="J3" s="2">
        <f t="shared" si="0"/>
        <v>75000</v>
      </c>
      <c r="K3" t="s">
        <v>24</v>
      </c>
      <c r="M3" s="2">
        <f>SUM(I2:I21)</f>
        <v>268660</v>
      </c>
      <c r="N3">
        <f>SUM(H2:H21)</f>
        <v>188</v>
      </c>
    </row>
    <row r="4" spans="1:15" x14ac:dyDescent="0.25">
      <c r="A4" t="s">
        <v>25</v>
      </c>
      <c r="B4" t="s">
        <v>26</v>
      </c>
      <c r="C4" t="s">
        <v>27</v>
      </c>
      <c r="D4" t="s">
        <v>28</v>
      </c>
      <c r="E4" t="s">
        <v>29</v>
      </c>
      <c r="F4" t="s">
        <v>30</v>
      </c>
      <c r="G4" t="s">
        <v>31</v>
      </c>
      <c r="H4">
        <v>5</v>
      </c>
      <c r="I4" s="2">
        <v>6500</v>
      </c>
      <c r="J4" s="2">
        <f t="shared" si="0"/>
        <v>32500</v>
      </c>
      <c r="K4" t="s">
        <v>32</v>
      </c>
    </row>
    <row r="5" spans="1:15" x14ac:dyDescent="0.25">
      <c r="A5" t="s">
        <v>33</v>
      </c>
      <c r="B5" t="s">
        <v>34</v>
      </c>
      <c r="C5" t="s">
        <v>35</v>
      </c>
      <c r="D5" t="s">
        <v>36</v>
      </c>
      <c r="E5" t="s">
        <v>37</v>
      </c>
      <c r="F5" t="s">
        <v>16</v>
      </c>
      <c r="G5" t="s">
        <v>38</v>
      </c>
      <c r="H5">
        <v>4</v>
      </c>
      <c r="I5" s="2">
        <v>12000</v>
      </c>
      <c r="J5" s="2">
        <f t="shared" si="0"/>
        <v>48000</v>
      </c>
      <c r="K5" t="s">
        <v>18</v>
      </c>
      <c r="M5" s="2">
        <f>MAX(J2:J21)</f>
        <v>125000</v>
      </c>
      <c r="N5" s="2">
        <f>MIN(J5:J21)</f>
        <v>1000</v>
      </c>
      <c r="O5">
        <f>COUNTA(A2:A21)</f>
        <v>20</v>
      </c>
    </row>
    <row r="6" spans="1:15" x14ac:dyDescent="0.25">
      <c r="A6" t="s">
        <v>39</v>
      </c>
      <c r="B6" t="s">
        <v>40</v>
      </c>
      <c r="C6" t="s">
        <v>41</v>
      </c>
      <c r="D6" t="s">
        <v>42</v>
      </c>
      <c r="E6" t="s">
        <v>43</v>
      </c>
      <c r="F6" t="s">
        <v>44</v>
      </c>
      <c r="G6" t="s">
        <v>45</v>
      </c>
      <c r="H6">
        <v>20</v>
      </c>
      <c r="I6" s="2">
        <v>120</v>
      </c>
      <c r="J6" s="2">
        <f t="shared" si="0"/>
        <v>2400</v>
      </c>
      <c r="K6" t="s">
        <v>32</v>
      </c>
    </row>
    <row r="7" spans="1:15" x14ac:dyDescent="0.25">
      <c r="A7" t="s">
        <v>46</v>
      </c>
      <c r="B7" t="s">
        <v>47</v>
      </c>
      <c r="C7" t="s">
        <v>13</v>
      </c>
      <c r="D7" t="s">
        <v>48</v>
      </c>
      <c r="E7" t="s">
        <v>49</v>
      </c>
      <c r="F7" t="s">
        <v>16</v>
      </c>
      <c r="G7" t="s">
        <v>50</v>
      </c>
      <c r="H7">
        <v>10</v>
      </c>
      <c r="I7" s="2">
        <v>1500</v>
      </c>
      <c r="J7" s="2">
        <f t="shared" si="0"/>
        <v>15000</v>
      </c>
      <c r="K7" t="s">
        <v>24</v>
      </c>
      <c r="M7">
        <f>SUMIF(C2:C21,"south",J2:J21)</f>
        <v>437500</v>
      </c>
      <c r="N7">
        <f>SUMIF(C2:C21,"west",J2:J21)</f>
        <v>158000</v>
      </c>
      <c r="O7">
        <f>SUMIF(F2:F21,"electronics",J2:J21)</f>
        <v>620500</v>
      </c>
    </row>
    <row r="8" spans="1:15" x14ac:dyDescent="0.25">
      <c r="A8" t="s">
        <v>51</v>
      </c>
      <c r="B8" t="s">
        <v>52</v>
      </c>
      <c r="C8" t="s">
        <v>27</v>
      </c>
      <c r="D8" t="s">
        <v>53</v>
      </c>
      <c r="E8" t="s">
        <v>54</v>
      </c>
      <c r="F8" t="s">
        <v>30</v>
      </c>
      <c r="G8" t="s">
        <v>55</v>
      </c>
      <c r="H8">
        <v>3</v>
      </c>
      <c r="I8" s="2">
        <v>8500</v>
      </c>
      <c r="J8" s="2">
        <f t="shared" si="0"/>
        <v>25500</v>
      </c>
      <c r="K8" t="s">
        <v>18</v>
      </c>
      <c r="O8">
        <f>SUMIF(F2:F22,"furniture",J2:J22)</f>
        <v>158000</v>
      </c>
    </row>
    <row r="9" spans="1:15" x14ac:dyDescent="0.25">
      <c r="A9" t="s">
        <v>56</v>
      </c>
      <c r="B9" t="s">
        <v>57</v>
      </c>
      <c r="C9" t="s">
        <v>35</v>
      </c>
      <c r="D9" t="s">
        <v>58</v>
      </c>
      <c r="E9" t="s">
        <v>59</v>
      </c>
      <c r="F9" t="s">
        <v>16</v>
      </c>
      <c r="G9" t="s">
        <v>60</v>
      </c>
      <c r="H9">
        <v>8</v>
      </c>
      <c r="I9" s="2">
        <v>2200</v>
      </c>
      <c r="J9" s="2">
        <f t="shared" si="0"/>
        <v>17600</v>
      </c>
      <c r="K9" t="s">
        <v>24</v>
      </c>
    </row>
    <row r="10" spans="1:15" x14ac:dyDescent="0.25">
      <c r="A10" t="s">
        <v>61</v>
      </c>
      <c r="B10" t="s">
        <v>62</v>
      </c>
      <c r="C10" t="s">
        <v>41</v>
      </c>
      <c r="D10" t="s">
        <v>42</v>
      </c>
      <c r="E10" t="s">
        <v>63</v>
      </c>
      <c r="F10" t="s">
        <v>44</v>
      </c>
      <c r="G10" t="s">
        <v>64</v>
      </c>
      <c r="H10">
        <v>50</v>
      </c>
      <c r="I10" s="2">
        <v>20</v>
      </c>
      <c r="J10" s="2">
        <f t="shared" si="0"/>
        <v>1000</v>
      </c>
      <c r="K10" t="s">
        <v>32</v>
      </c>
    </row>
    <row r="11" spans="1:15" x14ac:dyDescent="0.25">
      <c r="A11" t="s">
        <v>65</v>
      </c>
      <c r="B11" t="s">
        <v>66</v>
      </c>
      <c r="C11" t="s">
        <v>13</v>
      </c>
      <c r="D11" t="s">
        <v>14</v>
      </c>
      <c r="E11" t="s">
        <v>15</v>
      </c>
      <c r="F11" t="s">
        <v>16</v>
      </c>
      <c r="G11" t="s">
        <v>67</v>
      </c>
      <c r="H11">
        <v>2</v>
      </c>
      <c r="I11" s="2">
        <v>18000</v>
      </c>
      <c r="J11" s="2">
        <f t="shared" si="0"/>
        <v>36000</v>
      </c>
      <c r="K11" t="s">
        <v>18</v>
      </c>
      <c r="N11">
        <f>COUNTIF(K2:K21,"CASH")</f>
        <v>5</v>
      </c>
      <c r="O11">
        <f>SUMIF(E2:E22,"rahul",J2:J22)</f>
        <v>200000</v>
      </c>
    </row>
    <row r="12" spans="1:15" x14ac:dyDescent="0.25">
      <c r="A12" t="s">
        <v>68</v>
      </c>
      <c r="B12" t="s">
        <v>69</v>
      </c>
      <c r="C12" t="s">
        <v>27</v>
      </c>
      <c r="D12" t="s">
        <v>28</v>
      </c>
      <c r="E12" t="s">
        <v>29</v>
      </c>
      <c r="F12" t="s">
        <v>30</v>
      </c>
      <c r="G12" t="s">
        <v>70</v>
      </c>
      <c r="H12">
        <v>4</v>
      </c>
      <c r="I12" s="2">
        <v>11000</v>
      </c>
      <c r="J12" s="2">
        <f t="shared" si="0"/>
        <v>44000</v>
      </c>
      <c r="K12" t="s">
        <v>24</v>
      </c>
      <c r="O12">
        <f>SUMIF(E2:E23,"priya",J2:J23)</f>
        <v>200000</v>
      </c>
    </row>
    <row r="13" spans="1:15" x14ac:dyDescent="0.25">
      <c r="A13" t="s">
        <v>71</v>
      </c>
      <c r="B13" t="s">
        <v>72</v>
      </c>
      <c r="C13" t="s">
        <v>35</v>
      </c>
      <c r="D13" t="s">
        <v>36</v>
      </c>
      <c r="E13" t="s">
        <v>37</v>
      </c>
      <c r="F13" t="s">
        <v>16</v>
      </c>
      <c r="G13" t="s">
        <v>17</v>
      </c>
      <c r="H13">
        <v>1</v>
      </c>
      <c r="I13" s="2">
        <v>55000</v>
      </c>
      <c r="J13" s="2">
        <f t="shared" si="0"/>
        <v>55000</v>
      </c>
      <c r="K13" t="s">
        <v>18</v>
      </c>
      <c r="N13" s="2" cm="1">
        <f t="array" ref="N13">SUMIF(C2:C21,south,J2:J21)</f>
        <v>0</v>
      </c>
    </row>
    <row r="14" spans="1:15" x14ac:dyDescent="0.25">
      <c r="A14" t="s">
        <v>73</v>
      </c>
      <c r="B14" t="s">
        <v>74</v>
      </c>
      <c r="C14" t="s">
        <v>13</v>
      </c>
      <c r="D14" t="s">
        <v>21</v>
      </c>
      <c r="E14" t="s">
        <v>22</v>
      </c>
      <c r="F14" t="s">
        <v>16</v>
      </c>
      <c r="G14" t="s">
        <v>23</v>
      </c>
      <c r="H14">
        <v>5</v>
      </c>
      <c r="I14" s="2">
        <v>25000</v>
      </c>
      <c r="J14" s="2">
        <f t="shared" si="0"/>
        <v>125000</v>
      </c>
      <c r="K14" t="s">
        <v>24</v>
      </c>
    </row>
    <row r="15" spans="1:15" x14ac:dyDescent="0.25">
      <c r="A15" t="s">
        <v>75</v>
      </c>
      <c r="B15" t="s">
        <v>76</v>
      </c>
      <c r="C15" t="s">
        <v>41</v>
      </c>
      <c r="D15" t="s">
        <v>42</v>
      </c>
      <c r="E15" t="s">
        <v>43</v>
      </c>
      <c r="F15" t="s">
        <v>44</v>
      </c>
      <c r="G15" t="s">
        <v>45</v>
      </c>
      <c r="H15">
        <v>30</v>
      </c>
      <c r="I15" s="2">
        <v>120</v>
      </c>
      <c r="J15" s="2">
        <f t="shared" si="0"/>
        <v>3600</v>
      </c>
      <c r="K15" t="s">
        <v>32</v>
      </c>
    </row>
    <row r="16" spans="1:15" x14ac:dyDescent="0.25">
      <c r="A16" t="s">
        <v>77</v>
      </c>
      <c r="B16" t="s">
        <v>78</v>
      </c>
      <c r="C16" t="s">
        <v>27</v>
      </c>
      <c r="D16" t="s">
        <v>53</v>
      </c>
      <c r="E16" t="s">
        <v>54</v>
      </c>
      <c r="F16" t="s">
        <v>30</v>
      </c>
      <c r="G16" t="s">
        <v>31</v>
      </c>
      <c r="H16">
        <v>6</v>
      </c>
      <c r="I16" s="2">
        <v>6500</v>
      </c>
      <c r="J16" s="2">
        <f t="shared" si="0"/>
        <v>39000</v>
      </c>
      <c r="K16" t="s">
        <v>18</v>
      </c>
    </row>
    <row r="17" spans="1:11" x14ac:dyDescent="0.25">
      <c r="A17" t="s">
        <v>79</v>
      </c>
      <c r="B17" t="s">
        <v>80</v>
      </c>
      <c r="C17" t="s">
        <v>35</v>
      </c>
      <c r="D17" t="s">
        <v>58</v>
      </c>
      <c r="E17" t="s">
        <v>59</v>
      </c>
      <c r="F17" t="s">
        <v>16</v>
      </c>
      <c r="G17" t="s">
        <v>38</v>
      </c>
      <c r="H17">
        <v>3</v>
      </c>
      <c r="I17" s="2">
        <v>12000</v>
      </c>
      <c r="J17" s="2">
        <f t="shared" si="0"/>
        <v>36000</v>
      </c>
      <c r="K17" t="s">
        <v>24</v>
      </c>
    </row>
    <row r="18" spans="1:11" x14ac:dyDescent="0.25">
      <c r="A18" t="s">
        <v>81</v>
      </c>
      <c r="B18" t="s">
        <v>82</v>
      </c>
      <c r="C18" t="s">
        <v>13</v>
      </c>
      <c r="D18" t="s">
        <v>48</v>
      </c>
      <c r="E18" t="s">
        <v>49</v>
      </c>
      <c r="F18" t="s">
        <v>16</v>
      </c>
      <c r="G18" t="s">
        <v>50</v>
      </c>
      <c r="H18">
        <v>15</v>
      </c>
      <c r="I18" s="2">
        <v>1500</v>
      </c>
      <c r="J18" s="2">
        <f t="shared" si="0"/>
        <v>22500</v>
      </c>
      <c r="K18" t="s">
        <v>18</v>
      </c>
    </row>
    <row r="19" spans="1:11" x14ac:dyDescent="0.25">
      <c r="A19" t="s">
        <v>83</v>
      </c>
      <c r="B19" t="s">
        <v>84</v>
      </c>
      <c r="C19" t="s">
        <v>27</v>
      </c>
      <c r="D19" t="s">
        <v>28</v>
      </c>
      <c r="E19" t="s">
        <v>29</v>
      </c>
      <c r="F19" t="s">
        <v>30</v>
      </c>
      <c r="G19" t="s">
        <v>55</v>
      </c>
      <c r="H19">
        <v>2</v>
      </c>
      <c r="I19" s="2">
        <v>8500</v>
      </c>
      <c r="J19" s="2">
        <f t="shared" si="0"/>
        <v>17000</v>
      </c>
      <c r="K19" t="s">
        <v>32</v>
      </c>
    </row>
    <row r="20" spans="1:11" x14ac:dyDescent="0.25">
      <c r="A20" t="s">
        <v>85</v>
      </c>
      <c r="B20" t="s">
        <v>86</v>
      </c>
      <c r="C20" t="s">
        <v>35</v>
      </c>
      <c r="D20" t="s">
        <v>36</v>
      </c>
      <c r="E20" t="s">
        <v>37</v>
      </c>
      <c r="F20" t="s">
        <v>16</v>
      </c>
      <c r="G20" t="s">
        <v>60</v>
      </c>
      <c r="H20">
        <v>12</v>
      </c>
      <c r="I20" s="2">
        <v>2200</v>
      </c>
      <c r="J20" s="2">
        <f t="shared" si="0"/>
        <v>26400</v>
      </c>
      <c r="K20" t="s">
        <v>24</v>
      </c>
    </row>
    <row r="21" spans="1:11" x14ac:dyDescent="0.25">
      <c r="A21" t="s">
        <v>87</v>
      </c>
      <c r="B21" t="s">
        <v>88</v>
      </c>
      <c r="C21" t="s">
        <v>13</v>
      </c>
      <c r="D21" t="s">
        <v>14</v>
      </c>
      <c r="E21" t="s">
        <v>15</v>
      </c>
      <c r="F21" t="s">
        <v>16</v>
      </c>
      <c r="G21" t="s">
        <v>67</v>
      </c>
      <c r="H21">
        <v>3</v>
      </c>
      <c r="I21" s="2">
        <v>18000</v>
      </c>
      <c r="J21" s="2">
        <f t="shared" si="0"/>
        <v>54000</v>
      </c>
      <c r="K21" t="s">
        <v>18</v>
      </c>
    </row>
  </sheetData>
  <conditionalFormatting sqref="B2:K21">
    <cfRule type="colorScale" priority="1">
      <colorScale>
        <cfvo type="min"/>
        <cfvo type="percentile" val="50"/>
        <cfvo type="max"/>
        <color rgb="FFF8696B"/>
        <color rgb="FFFCFCFF"/>
        <color rgb="FF63BE7B"/>
      </colorScale>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tabSelected="1" workbookViewId="0">
      <pane ySplit="3" topLeftCell="A4" activePane="bottomLeft" state="frozen"/>
      <selection pane="bottomLeft" activeCell="D1" sqref="D1"/>
    </sheetView>
  </sheetViews>
  <sheetFormatPr defaultRowHeight="15" x14ac:dyDescent="0.25"/>
  <cols>
    <col min="1" max="1" width="8" customWidth="1"/>
    <col min="2" max="2" width="28" customWidth="1"/>
    <col min="3" max="3" width="85" customWidth="1"/>
  </cols>
  <sheetData>
    <row r="1" spans="1:3" ht="21" x14ac:dyDescent="0.35">
      <c r="A1" s="13" t="s">
        <v>89</v>
      </c>
      <c r="B1" s="14"/>
      <c r="C1" s="14"/>
    </row>
    <row r="3" spans="1:3" x14ac:dyDescent="0.25">
      <c r="A3" s="3" t="s">
        <v>90</v>
      </c>
      <c r="B3" s="3" t="s">
        <v>91</v>
      </c>
      <c r="C3" s="3" t="s">
        <v>92</v>
      </c>
    </row>
    <row r="4" spans="1:3" ht="30" x14ac:dyDescent="0.25">
      <c r="A4" s="4" t="s">
        <v>93</v>
      </c>
      <c r="B4" s="4" t="s">
        <v>94</v>
      </c>
      <c r="C4" s="4" t="s">
        <v>95</v>
      </c>
    </row>
    <row r="5" spans="1:3" x14ac:dyDescent="0.25">
      <c r="A5" s="4" t="s">
        <v>96</v>
      </c>
      <c r="B5" s="4" t="s">
        <v>97</v>
      </c>
      <c r="C5" s="4" t="s">
        <v>98</v>
      </c>
    </row>
    <row r="6" spans="1:3" x14ac:dyDescent="0.25">
      <c r="A6" s="4" t="s">
        <v>99</v>
      </c>
      <c r="B6" s="4" t="s">
        <v>100</v>
      </c>
      <c r="C6" s="4" t="s">
        <v>101</v>
      </c>
    </row>
    <row r="7" spans="1:3" x14ac:dyDescent="0.25">
      <c r="A7" s="4" t="s">
        <v>102</v>
      </c>
      <c r="B7" s="4" t="s">
        <v>103</v>
      </c>
      <c r="C7" s="4" t="s">
        <v>104</v>
      </c>
    </row>
    <row r="8" spans="1:3" x14ac:dyDescent="0.25">
      <c r="A8" s="4" t="s">
        <v>105</v>
      </c>
      <c r="B8" s="4" t="s">
        <v>106</v>
      </c>
      <c r="C8" s="4" t="s">
        <v>107</v>
      </c>
    </row>
    <row r="9" spans="1:3" x14ac:dyDescent="0.25">
      <c r="A9" s="4" t="s">
        <v>108</v>
      </c>
      <c r="B9" s="4" t="s">
        <v>109</v>
      </c>
      <c r="C9" s="4" t="s">
        <v>110</v>
      </c>
    </row>
    <row r="10" spans="1:3" x14ac:dyDescent="0.25">
      <c r="A10" s="4" t="s">
        <v>111</v>
      </c>
      <c r="B10" s="4" t="s">
        <v>112</v>
      </c>
      <c r="C10" s="4" t="s">
        <v>113</v>
      </c>
    </row>
    <row r="11" spans="1:3" x14ac:dyDescent="0.25">
      <c r="A11" s="4" t="s">
        <v>114</v>
      </c>
      <c r="B11" s="4" t="s">
        <v>115</v>
      </c>
      <c r="C11" s="4" t="s">
        <v>116</v>
      </c>
    </row>
    <row r="12" spans="1:3" x14ac:dyDescent="0.25">
      <c r="A12" s="4" t="s">
        <v>117</v>
      </c>
      <c r="B12" s="4" t="s">
        <v>118</v>
      </c>
      <c r="C12" s="4" t="s">
        <v>119</v>
      </c>
    </row>
    <row r="13" spans="1:3" x14ac:dyDescent="0.25">
      <c r="A13" s="4" t="s">
        <v>120</v>
      </c>
      <c r="B13" s="4" t="s">
        <v>121</v>
      </c>
      <c r="C13" s="4" t="s">
        <v>122</v>
      </c>
    </row>
    <row r="14" spans="1:3" x14ac:dyDescent="0.25">
      <c r="A14" s="4" t="s">
        <v>123</v>
      </c>
      <c r="B14" s="4" t="s">
        <v>124</v>
      </c>
      <c r="C14" s="4" t="s">
        <v>125</v>
      </c>
    </row>
    <row r="15" spans="1:3" x14ac:dyDescent="0.25">
      <c r="A15" s="4" t="s">
        <v>126</v>
      </c>
      <c r="B15" s="4" t="s">
        <v>127</v>
      </c>
      <c r="C15" s="4" t="s">
        <v>128</v>
      </c>
    </row>
    <row r="16" spans="1:3" x14ac:dyDescent="0.25">
      <c r="A16" s="4" t="s">
        <v>129</v>
      </c>
      <c r="B16" s="4" t="s">
        <v>130</v>
      </c>
      <c r="C16" s="4" t="s">
        <v>131</v>
      </c>
    </row>
    <row r="17" spans="1:3" x14ac:dyDescent="0.25">
      <c r="A17" s="4" t="s">
        <v>132</v>
      </c>
      <c r="B17" s="4" t="s">
        <v>133</v>
      </c>
      <c r="C17" s="4" t="s">
        <v>134</v>
      </c>
    </row>
    <row r="18" spans="1:3" x14ac:dyDescent="0.25">
      <c r="A18" s="4" t="s">
        <v>135</v>
      </c>
      <c r="B18" s="4" t="s">
        <v>136</v>
      </c>
      <c r="C18" s="4" t="s">
        <v>137</v>
      </c>
    </row>
    <row r="21" spans="1:3" ht="18.75" x14ac:dyDescent="0.3">
      <c r="A21" s="15" t="s">
        <v>138</v>
      </c>
      <c r="B21" s="14"/>
      <c r="C21" s="14"/>
    </row>
    <row r="22" spans="1:3" x14ac:dyDescent="0.25">
      <c r="A22" t="s">
        <v>139</v>
      </c>
      <c r="B22" s="2">
        <f>SUM('Sales Data'!J2:J21)</f>
        <v>785500</v>
      </c>
    </row>
    <row r="23" spans="1:3" x14ac:dyDescent="0.25">
      <c r="A23" t="s">
        <v>140</v>
      </c>
      <c r="B23" s="2">
        <f>AVERAGE('Sales Data'!J2:J21)</f>
        <v>39275</v>
      </c>
    </row>
    <row r="24" spans="1:3" x14ac:dyDescent="0.25">
      <c r="A24" t="s">
        <v>141</v>
      </c>
      <c r="B24" s="2">
        <f>MAX('Sales Data'!J2:J21)</f>
        <v>125000</v>
      </c>
    </row>
    <row r="25" spans="1:3" x14ac:dyDescent="0.25">
      <c r="A25" t="s">
        <v>142</v>
      </c>
      <c r="B25" s="2">
        <f>MIN('Sales Data'!J2:J21)</f>
        <v>1000</v>
      </c>
    </row>
    <row r="26" spans="1:3" x14ac:dyDescent="0.25">
      <c r="A26" t="s">
        <v>143</v>
      </c>
      <c r="B26" s="2">
        <f>SUMIF('Sales Data'!C2:C21,"South",'Sales Data'!J2:J21)</f>
        <v>437500</v>
      </c>
    </row>
  </sheetData>
  <mergeCells count="2">
    <mergeCell ref="A1:C1"/>
    <mergeCell ref="A21:C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 Dashboard</vt:lpstr>
      <vt:lpstr>pivot tables</vt:lpstr>
      <vt:lpstr>pivot charts and slicers</vt:lpstr>
      <vt:lpstr>Sales Data</vt:lpstr>
      <vt:lpstr>Project 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Sinde Ashwini</cp:lastModifiedBy>
  <dcterms:created xsi:type="dcterms:W3CDTF">2026-08-22T16:11:44Z</dcterms:created>
  <dcterms:modified xsi:type="dcterms:W3CDTF">2026-09-20T15:11:10Z</dcterms:modified>
</cp:coreProperties>
</file>